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Fan\PycharmProjects\excel\"/>
    </mc:Choice>
  </mc:AlternateContent>
  <xr:revisionPtr revIDLastSave="0" documentId="13_ncr:1_{9D2EB06C-B16A-4BA8-82D4-89D45330FF2B}" xr6:coauthVersionLast="47" xr6:coauthVersionMax="47" xr10:uidLastSave="{00000000-0000-0000-0000-000000000000}"/>
  <bookViews>
    <workbookView xWindow="-120" yWindow="-120" windowWidth="29040" windowHeight="15720" firstSheet="3" activeTab="4" xr2:uid="{00000000-000D-0000-FFFF-FFFF00000000}"/>
  </bookViews>
  <sheets>
    <sheet name="Title" sheetId="4" r:id="rId1"/>
    <sheet name="Instructions" sheetId="7" r:id="rId2"/>
    <sheet name="DDR4 Spec" sheetId="8" r:id="rId3"/>
    <sheet name="DDR4 Config" sheetId="1" r:id="rId4"/>
    <sheet name="Trace" sheetId="14" r:id="rId5"/>
    <sheet name="System Config" sheetId="2" r:id="rId6"/>
    <sheet name="Power Calcs" sheetId="5" r:id="rId7"/>
    <sheet name="Summary" sheetId="6" r:id="rId8"/>
    <sheet name="Module Calc" sheetId="11" r:id="rId9"/>
    <sheet name="Result" sheetId="13" state="hidden" r:id="rId10"/>
    <sheet name="Module Config (OLD)" sheetId="9" state="hidden" r:id="rId11"/>
  </sheets>
  <externalReferences>
    <externalReference r:id="rId12"/>
    <externalReference r:id="rId13"/>
  </externalReferences>
  <definedNames>
    <definedName name="_xlnm.Print_Area" localSheetId="3">'DDR4 Config'!$B$1:$Y$48</definedName>
    <definedName name="_xlnm.Print_Area" localSheetId="2">'DDR4 Spec'!$B$1:$AL$166</definedName>
    <definedName name="_xlnm.Print_Area" localSheetId="1">Instructions!$A$1:$E$54</definedName>
    <definedName name="_xlnm.Print_Area" localSheetId="6">'Power Calcs'!$B$1:$S$25</definedName>
    <definedName name="_xlnm.Print_Area" localSheetId="7">Summary!$A$1:$M$60</definedName>
    <definedName name="_xlnm.Print_Area" localSheetId="5">'System Config'!$L$1:$P$35</definedName>
    <definedName name="_xlnm.Print_Area" localSheetId="0">Title!$A$1:$E$21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1" i="2" l="1"/>
  <c r="N20" i="2"/>
  <c r="D28" i="1"/>
  <c r="D27" i="1"/>
  <c r="D26" i="1"/>
  <c r="D25" i="1"/>
  <c r="D24" i="1"/>
  <c r="D23" i="1"/>
  <c r="AA63" i="8"/>
  <c r="AA62" i="8"/>
  <c r="AA60" i="8"/>
  <c r="AA61" i="8"/>
  <c r="AA59" i="8"/>
  <c r="AA58" i="8"/>
  <c r="AA57" i="8"/>
  <c r="AA56" i="8"/>
  <c r="AA55" i="8"/>
  <c r="AA54" i="8"/>
  <c r="AA53" i="8"/>
  <c r="I27" i="2" l="1"/>
  <c r="N27" i="2" s="1"/>
  <c r="I19" i="2"/>
  <c r="N19" i="2" s="1"/>
  <c r="I20" i="2"/>
  <c r="I21" i="2"/>
  <c r="I22" i="2"/>
  <c r="I23" i="2"/>
  <c r="I24" i="2"/>
  <c r="I25" i="2"/>
  <c r="I26" i="2"/>
  <c r="I18" i="2"/>
  <c r="N18" i="2" s="1"/>
  <c r="I17" i="2"/>
  <c r="I16" i="2"/>
  <c r="N16" i="2" s="1"/>
  <c r="W1" i="1" l="1"/>
  <c r="D8" i="11" s="1"/>
  <c r="D11" i="1"/>
  <c r="J8" i="11" l="1"/>
  <c r="D5" i="11"/>
  <c r="D4" i="11"/>
  <c r="D11" i="11" s="1"/>
  <c r="D3" i="11"/>
  <c r="I12" i="11" s="1"/>
  <c r="I13" i="11" l="1"/>
  <c r="I11" i="11"/>
  <c r="P8" i="11"/>
  <c r="K8" i="11"/>
  <c r="N10" i="9"/>
  <c r="Y8" i="9"/>
  <c r="T8" i="9"/>
  <c r="C150" i="8" l="1"/>
  <c r="D112" i="8"/>
  <c r="C149" i="8"/>
  <c r="D109" i="8"/>
  <c r="B150" i="8" l="1"/>
  <c r="B149" i="8"/>
  <c r="E69" i="8" l="1"/>
  <c r="F69" i="8"/>
  <c r="G69" i="8"/>
  <c r="H69" i="8"/>
  <c r="I69" i="8"/>
  <c r="J69" i="8"/>
  <c r="K69" i="8"/>
  <c r="L69" i="8"/>
  <c r="M69" i="8"/>
  <c r="N69" i="8"/>
  <c r="O70" i="8"/>
  <c r="Y53" i="8" l="1"/>
  <c r="Y64" i="8" s="1"/>
  <c r="AJ53" i="8" l="1"/>
  <c r="AJ64" i="8" s="1"/>
  <c r="O25" i="9" l="1"/>
  <c r="O24" i="9"/>
  <c r="O26" i="9"/>
  <c r="O27" i="9"/>
  <c r="O29" i="9"/>
  <c r="O28" i="9"/>
  <c r="N13" i="9" l="1"/>
  <c r="N12" i="9"/>
  <c r="N11" i="9"/>
  <c r="P17" i="2"/>
  <c r="N105" i="8" l="1"/>
  <c r="M105" i="8"/>
  <c r="L105" i="8"/>
  <c r="K105" i="8"/>
  <c r="J105" i="8"/>
  <c r="I105" i="8"/>
  <c r="H105" i="8"/>
  <c r="G105" i="8"/>
  <c r="F105" i="8"/>
  <c r="E105" i="8"/>
  <c r="N104" i="8"/>
  <c r="M104" i="8"/>
  <c r="L104" i="8"/>
  <c r="K104" i="8"/>
  <c r="J104" i="8"/>
  <c r="I104" i="8"/>
  <c r="H104" i="8"/>
  <c r="G104" i="8"/>
  <c r="F104" i="8"/>
  <c r="E104" i="8"/>
  <c r="N103" i="8"/>
  <c r="M103" i="8"/>
  <c r="L103" i="8"/>
  <c r="K103" i="8"/>
  <c r="J103" i="8"/>
  <c r="I103" i="8"/>
  <c r="H103" i="8"/>
  <c r="G103" i="8"/>
  <c r="F103" i="8"/>
  <c r="E103" i="8"/>
  <c r="N102" i="8"/>
  <c r="M102" i="8"/>
  <c r="L102" i="8"/>
  <c r="K102" i="8"/>
  <c r="J102" i="8"/>
  <c r="I102" i="8"/>
  <c r="H102" i="8"/>
  <c r="G102" i="8"/>
  <c r="F102" i="8"/>
  <c r="E102" i="8"/>
  <c r="N101" i="8"/>
  <c r="M101" i="8"/>
  <c r="L101" i="8"/>
  <c r="K101" i="8"/>
  <c r="J101" i="8"/>
  <c r="I101" i="8"/>
  <c r="H101" i="8"/>
  <c r="G101" i="8"/>
  <c r="F101" i="8"/>
  <c r="E101" i="8"/>
  <c r="N100" i="8"/>
  <c r="M100" i="8"/>
  <c r="L100" i="8"/>
  <c r="K100" i="8"/>
  <c r="J100" i="8"/>
  <c r="I100" i="8"/>
  <c r="H100" i="8"/>
  <c r="G100" i="8"/>
  <c r="F100" i="8"/>
  <c r="E100" i="8"/>
  <c r="F15" i="6" l="1"/>
  <c r="F36" i="6" l="1"/>
  <c r="C42" i="6"/>
  <c r="C41" i="6"/>
  <c r="C40" i="6"/>
  <c r="C39" i="6"/>
  <c r="C38" i="6"/>
  <c r="C37" i="6"/>
  <c r="C36" i="6"/>
  <c r="C35" i="6"/>
  <c r="C34" i="6"/>
  <c r="C33" i="6"/>
  <c r="C32" i="6"/>
  <c r="F24" i="6"/>
  <c r="F42" i="6" s="1"/>
  <c r="E71" i="8" l="1"/>
  <c r="C77" i="8"/>
  <c r="C78" i="8" s="1"/>
  <c r="C79" i="8" s="1"/>
  <c r="C80" i="8" s="1"/>
  <c r="C81" i="8" s="1"/>
  <c r="C82" i="8" s="1"/>
  <c r="C83" i="8" s="1"/>
  <c r="C84" i="8" s="1"/>
  <c r="C85" i="8" s="1"/>
  <c r="C86" i="8" s="1"/>
  <c r="C87" i="8" s="1"/>
  <c r="C88" i="8" s="1"/>
  <c r="C89" i="8" s="1"/>
  <c r="C90" i="8" s="1"/>
  <c r="C91" i="8" s="1"/>
  <c r="C92" i="8" s="1"/>
  <c r="C93" i="8" s="1"/>
  <c r="C94" i="8" s="1"/>
  <c r="C95" i="8" s="1"/>
  <c r="C96" i="8" s="1"/>
  <c r="N122" i="8"/>
  <c r="M122" i="8"/>
  <c r="L122" i="8"/>
  <c r="K122" i="8"/>
  <c r="J122" i="8"/>
  <c r="I122" i="8"/>
  <c r="H122" i="8"/>
  <c r="G122" i="8"/>
  <c r="F122" i="8"/>
  <c r="E122" i="8"/>
  <c r="N119" i="8"/>
  <c r="M119" i="8"/>
  <c r="L119" i="8"/>
  <c r="K119" i="8"/>
  <c r="J119" i="8"/>
  <c r="I119" i="8"/>
  <c r="H119" i="8"/>
  <c r="G119" i="8"/>
  <c r="F119" i="8"/>
  <c r="E119" i="8"/>
  <c r="N113" i="8"/>
  <c r="M113" i="8"/>
  <c r="L113" i="8"/>
  <c r="K113" i="8"/>
  <c r="J113" i="8"/>
  <c r="I113" i="8"/>
  <c r="H113" i="8"/>
  <c r="N110" i="8"/>
  <c r="M110" i="8"/>
  <c r="L110" i="8"/>
  <c r="K110" i="8"/>
  <c r="J110" i="8"/>
  <c r="I110" i="8"/>
  <c r="H110" i="8"/>
  <c r="N95" i="8"/>
  <c r="M95" i="8"/>
  <c r="L95" i="8"/>
  <c r="K95" i="8"/>
  <c r="J95" i="8"/>
  <c r="I95" i="8"/>
  <c r="H95" i="8"/>
  <c r="N86" i="8"/>
  <c r="M86" i="8"/>
  <c r="L86" i="8"/>
  <c r="K86" i="8"/>
  <c r="J86" i="8"/>
  <c r="I86" i="8"/>
  <c r="H86" i="8"/>
  <c r="N83" i="8"/>
  <c r="M83" i="8"/>
  <c r="L83" i="8"/>
  <c r="K83" i="8"/>
  <c r="J83" i="8"/>
  <c r="I83" i="8"/>
  <c r="H83" i="8"/>
  <c r="N80" i="8"/>
  <c r="M80" i="8"/>
  <c r="L80" i="8"/>
  <c r="K80" i="8"/>
  <c r="J80" i="8"/>
  <c r="I80" i="8"/>
  <c r="H80" i="8"/>
  <c r="T53" i="8"/>
  <c r="T64" i="8" s="1"/>
  <c r="S53" i="8"/>
  <c r="S64" i="8" s="1"/>
  <c r="O100" i="8" l="1"/>
  <c r="O122" i="8"/>
  <c r="O105" i="8"/>
  <c r="O119" i="8"/>
  <c r="O101" i="8"/>
  <c r="O104" i="8"/>
  <c r="O102" i="8"/>
  <c r="O103" i="8"/>
  <c r="C97" i="8"/>
  <c r="C98" i="8" s="1"/>
  <c r="C99" i="8" s="1"/>
  <c r="C100" i="8" s="1"/>
  <c r="C101" i="8" s="1"/>
  <c r="C102" i="8" s="1"/>
  <c r="C103" i="8"/>
  <c r="C104" i="8" s="1"/>
  <c r="C105" i="8" s="1"/>
  <c r="G80" i="8"/>
  <c r="F80" i="8"/>
  <c r="E80" i="8"/>
  <c r="C106" i="8" l="1"/>
  <c r="C107" i="8" s="1"/>
  <c r="C108" i="8" s="1"/>
  <c r="C109" i="8" s="1"/>
  <c r="C110" i="8" s="1"/>
  <c r="C111" i="8" s="1"/>
  <c r="C112" i="8" s="1"/>
  <c r="C113" i="8" s="1"/>
  <c r="C114" i="8" s="1"/>
  <c r="O80" i="8"/>
  <c r="G83" i="8"/>
  <c r="F83" i="8"/>
  <c r="E83" i="8"/>
  <c r="O83" i="8" l="1"/>
  <c r="G86" i="8"/>
  <c r="F86" i="8"/>
  <c r="E86" i="8"/>
  <c r="O86" i="8" l="1"/>
  <c r="G95" i="8"/>
  <c r="F95" i="8"/>
  <c r="E95" i="8"/>
  <c r="P23" i="2"/>
  <c r="P21" i="2"/>
  <c r="O95" i="8" l="1"/>
  <c r="G110" i="8"/>
  <c r="F110" i="8"/>
  <c r="E110" i="8"/>
  <c r="O110" i="8" s="1"/>
  <c r="K23" i="5"/>
  <c r="K22" i="5"/>
  <c r="K21" i="5"/>
  <c r="K20" i="5"/>
  <c r="Q20" i="5" s="1"/>
  <c r="F14" i="6" s="1"/>
  <c r="F35" i="6" s="1"/>
  <c r="D36" i="5"/>
  <c r="D35" i="5"/>
  <c r="D34" i="5"/>
  <c r="D31" i="5"/>
  <c r="D30" i="5"/>
  <c r="AI53" i="8"/>
  <c r="AI64" i="8" s="1"/>
  <c r="AH53" i="8"/>
  <c r="AH64" i="8" s="1"/>
  <c r="AG53" i="8"/>
  <c r="AG64" i="8" s="1"/>
  <c r="AF53" i="8"/>
  <c r="AF64" i="8" s="1"/>
  <c r="AE53" i="8"/>
  <c r="AE64" i="8" s="1"/>
  <c r="AD53" i="8"/>
  <c r="AD64" i="8" s="1"/>
  <c r="AC53" i="8"/>
  <c r="AC64" i="8" s="1"/>
  <c r="AB53" i="8"/>
  <c r="AB64" i="8" s="1"/>
  <c r="AA64" i="8"/>
  <c r="N89" i="8"/>
  <c r="M89" i="8"/>
  <c r="L89" i="8"/>
  <c r="K89" i="8"/>
  <c r="J89" i="8"/>
  <c r="I89" i="8"/>
  <c r="H89" i="8"/>
  <c r="G89" i="8"/>
  <c r="F89" i="8"/>
  <c r="E89" i="8"/>
  <c r="N92" i="8"/>
  <c r="M92" i="8"/>
  <c r="L92" i="8"/>
  <c r="K92" i="8"/>
  <c r="J92" i="8"/>
  <c r="I92" i="8"/>
  <c r="H92" i="8"/>
  <c r="G92" i="8"/>
  <c r="F92" i="8"/>
  <c r="E92" i="8"/>
  <c r="X53" i="8"/>
  <c r="X64" i="8" s="1"/>
  <c r="W53" i="8"/>
  <c r="W64" i="8" s="1"/>
  <c r="R53" i="8"/>
  <c r="R64" i="8" s="1"/>
  <c r="Q53" i="8"/>
  <c r="Q64" i="8" s="1"/>
  <c r="P53" i="8"/>
  <c r="P64" i="8" s="1"/>
  <c r="G53" i="8"/>
  <c r="G64" i="8" s="1"/>
  <c r="F53" i="8"/>
  <c r="F64" i="8" s="1"/>
  <c r="E53" i="8"/>
  <c r="E64" i="8" s="1"/>
  <c r="K53" i="8"/>
  <c r="K64" i="8" s="1"/>
  <c r="J53" i="8"/>
  <c r="J64" i="8" s="1"/>
  <c r="I53" i="8"/>
  <c r="I64" i="8" s="1"/>
  <c r="H53" i="8"/>
  <c r="H64" i="8" s="1"/>
  <c r="N77" i="8"/>
  <c r="M77" i="8"/>
  <c r="L77" i="8"/>
  <c r="K77" i="8"/>
  <c r="J77" i="8"/>
  <c r="I77" i="8"/>
  <c r="H77" i="8"/>
  <c r="G77" i="8"/>
  <c r="F77" i="8"/>
  <c r="E77" i="8"/>
  <c r="E76" i="8"/>
  <c r="X15" i="2"/>
  <c r="AD16" i="2"/>
  <c r="AF15" i="2"/>
  <c r="AD15" i="2"/>
  <c r="V15" i="2"/>
  <c r="AB17" i="2"/>
  <c r="AF16" i="2"/>
  <c r="O89" i="8" l="1"/>
  <c r="O92" i="8"/>
  <c r="G113" i="8"/>
  <c r="F113" i="8"/>
  <c r="E113" i="8"/>
  <c r="O113" i="8" s="1"/>
  <c r="V20" i="2"/>
  <c r="V19" i="2"/>
  <c r="T19" i="2"/>
  <c r="AB19" i="2"/>
  <c r="AB20" i="2" s="1"/>
  <c r="X19" i="2" l="1"/>
  <c r="X21" i="2"/>
  <c r="X20" i="2"/>
  <c r="V21" i="2"/>
  <c r="N12" i="2" s="1"/>
  <c r="T20" i="2"/>
  <c r="AF19" i="2"/>
  <c r="N14" i="2" l="1"/>
  <c r="AF20" i="2"/>
  <c r="AF21" i="2"/>
  <c r="N15" i="2" l="1"/>
  <c r="D7" i="1"/>
  <c r="D7" i="11" s="1"/>
  <c r="D5" i="9" l="1"/>
  <c r="L118" i="8"/>
  <c r="M118" i="8"/>
  <c r="N118" i="8"/>
  <c r="L120" i="8"/>
  <c r="M120" i="8"/>
  <c r="N120" i="8"/>
  <c r="L121" i="8"/>
  <c r="M121" i="8"/>
  <c r="N121" i="8"/>
  <c r="L123" i="8"/>
  <c r="M123" i="8"/>
  <c r="N123" i="8"/>
  <c r="L124" i="8"/>
  <c r="M124" i="8"/>
  <c r="N124" i="8"/>
  <c r="L125" i="8"/>
  <c r="M125" i="8"/>
  <c r="N125" i="8"/>
  <c r="L126" i="8"/>
  <c r="M126" i="8"/>
  <c r="N126" i="8"/>
  <c r="L127" i="8"/>
  <c r="M127" i="8"/>
  <c r="N127" i="8"/>
  <c r="L129" i="8"/>
  <c r="M129" i="8"/>
  <c r="N129" i="8"/>
  <c r="N74" i="8"/>
  <c r="M74" i="8"/>
  <c r="L74" i="8"/>
  <c r="K74" i="8"/>
  <c r="J74" i="8"/>
  <c r="I74" i="8"/>
  <c r="H74" i="8"/>
  <c r="G74" i="8"/>
  <c r="F74" i="8"/>
  <c r="N73" i="8"/>
  <c r="M73" i="8"/>
  <c r="L73" i="8"/>
  <c r="K73" i="8"/>
  <c r="J73" i="8"/>
  <c r="I73" i="8"/>
  <c r="H73" i="8"/>
  <c r="G73" i="8"/>
  <c r="F73" i="8"/>
  <c r="N72" i="8"/>
  <c r="M72" i="8"/>
  <c r="L72" i="8"/>
  <c r="K72" i="8"/>
  <c r="J72" i="8"/>
  <c r="I72" i="8"/>
  <c r="H72" i="8"/>
  <c r="G72" i="8"/>
  <c r="F72" i="8"/>
  <c r="N71" i="8"/>
  <c r="M71" i="8"/>
  <c r="L71" i="8"/>
  <c r="K71" i="8"/>
  <c r="J71" i="8"/>
  <c r="I71" i="8"/>
  <c r="H71" i="8"/>
  <c r="G71" i="8"/>
  <c r="F71" i="8"/>
  <c r="E74" i="8"/>
  <c r="E73" i="8"/>
  <c r="E72" i="8"/>
  <c r="K120" i="8"/>
  <c r="J120" i="8"/>
  <c r="I120" i="8"/>
  <c r="H120" i="8"/>
  <c r="G120" i="8"/>
  <c r="F120" i="8"/>
  <c r="E120" i="8"/>
  <c r="K118" i="8"/>
  <c r="J118" i="8"/>
  <c r="I118" i="8"/>
  <c r="H118" i="8"/>
  <c r="G118" i="8"/>
  <c r="F118" i="8"/>
  <c r="E118" i="8"/>
  <c r="S1" i="1"/>
  <c r="D20" i="1" s="1"/>
  <c r="D8" i="1"/>
  <c r="N53" i="8"/>
  <c r="M53" i="8"/>
  <c r="L53" i="8"/>
  <c r="D20" i="5" l="1"/>
  <c r="J20" i="5" s="1"/>
  <c r="P20" i="5" s="1"/>
  <c r="D6" i="11"/>
  <c r="D9" i="11"/>
  <c r="S8" i="9"/>
  <c r="D4" i="9"/>
  <c r="M128" i="8"/>
  <c r="M64" i="8"/>
  <c r="N128" i="8"/>
  <c r="N64" i="8"/>
  <c r="L128" i="8"/>
  <c r="L64" i="8"/>
  <c r="O118" i="8"/>
  <c r="O120" i="8"/>
  <c r="D147" i="8"/>
  <c r="D146" i="8"/>
  <c r="O71" i="8"/>
  <c r="D132" i="8" s="1"/>
  <c r="O77" i="8"/>
  <c r="O72" i="8"/>
  <c r="D133" i="8" s="1"/>
  <c r="O73" i="8"/>
  <c r="D134" i="8" s="1"/>
  <c r="O74" i="8"/>
  <c r="D135" i="8" s="1"/>
  <c r="E94" i="8"/>
  <c r="N39" i="2"/>
  <c r="N40" i="2" s="1"/>
  <c r="P19" i="2"/>
  <c r="E34" i="5"/>
  <c r="E93" i="8"/>
  <c r="E91" i="8"/>
  <c r="E90" i="8"/>
  <c r="E88" i="8"/>
  <c r="E87" i="8"/>
  <c r="E85" i="8"/>
  <c r="E84" i="8"/>
  <c r="E82" i="8"/>
  <c r="E81" i="8"/>
  <c r="E79" i="8"/>
  <c r="E78" i="8"/>
  <c r="P12" i="1"/>
  <c r="P11" i="1"/>
  <c r="P10" i="1"/>
  <c r="P9" i="1"/>
  <c r="P8" i="1"/>
  <c r="P7" i="1"/>
  <c r="P6" i="1"/>
  <c r="P5" i="1"/>
  <c r="P4" i="1"/>
  <c r="H129" i="8"/>
  <c r="G129" i="8"/>
  <c r="F129" i="8"/>
  <c r="H128" i="8"/>
  <c r="G128" i="8"/>
  <c r="F128" i="8"/>
  <c r="H127" i="8"/>
  <c r="G127" i="8"/>
  <c r="F127" i="8"/>
  <c r="H126" i="8"/>
  <c r="G126" i="8"/>
  <c r="F126" i="8"/>
  <c r="H125" i="8"/>
  <c r="G125" i="8"/>
  <c r="F125" i="8"/>
  <c r="H124" i="8"/>
  <c r="G124" i="8"/>
  <c r="F124" i="8"/>
  <c r="H123" i="8"/>
  <c r="G123" i="8"/>
  <c r="F123" i="8"/>
  <c r="H121" i="8"/>
  <c r="G121" i="8"/>
  <c r="F121" i="8"/>
  <c r="H117" i="8"/>
  <c r="G117" i="8"/>
  <c r="F117" i="8"/>
  <c r="I117" i="8"/>
  <c r="J117" i="8"/>
  <c r="K117" i="8"/>
  <c r="L117" i="8"/>
  <c r="M117" i="8"/>
  <c r="N117" i="8"/>
  <c r="I121" i="8"/>
  <c r="J121" i="8"/>
  <c r="K121" i="8"/>
  <c r="I123" i="8"/>
  <c r="J123" i="8"/>
  <c r="K123" i="8"/>
  <c r="I124" i="8"/>
  <c r="J124" i="8"/>
  <c r="K124" i="8"/>
  <c r="I125" i="8"/>
  <c r="J125" i="8"/>
  <c r="K125" i="8"/>
  <c r="I126" i="8"/>
  <c r="J126" i="8"/>
  <c r="K126" i="8"/>
  <c r="I127" i="8"/>
  <c r="J127" i="8"/>
  <c r="K127" i="8"/>
  <c r="I128" i="8"/>
  <c r="J128" i="8"/>
  <c r="K128" i="8"/>
  <c r="I129" i="8"/>
  <c r="J129" i="8"/>
  <c r="K129" i="8"/>
  <c r="P3" i="1"/>
  <c r="E129" i="8"/>
  <c r="E128" i="8"/>
  <c r="E127" i="8"/>
  <c r="E126" i="8"/>
  <c r="E125" i="8"/>
  <c r="E124" i="8"/>
  <c r="E123" i="8"/>
  <c r="E121" i="8"/>
  <c r="E117" i="8"/>
  <c r="E30" i="5"/>
  <c r="D10" i="11" l="1"/>
  <c r="I8" i="11"/>
  <c r="D12" i="11"/>
  <c r="O125" i="8"/>
  <c r="D156" i="8" s="1"/>
  <c r="D44" i="1" s="1"/>
  <c r="O123" i="8"/>
  <c r="O128" i="8"/>
  <c r="D159" i="8" s="1"/>
  <c r="D47" i="1" s="1"/>
  <c r="O117" i="8"/>
  <c r="O129" i="8"/>
  <c r="D160" i="8" s="1"/>
  <c r="D48" i="1" s="1"/>
  <c r="O124" i="8"/>
  <c r="D155" i="8" s="1"/>
  <c r="D43" i="1" s="1"/>
  <c r="O127" i="8"/>
  <c r="D158" i="8" s="1"/>
  <c r="D46" i="1" s="1"/>
  <c r="O126" i="8"/>
  <c r="D157" i="8" s="1"/>
  <c r="D45" i="1" s="1"/>
  <c r="O121" i="8"/>
  <c r="D154" i="8" s="1"/>
  <c r="P8" i="2"/>
  <c r="D9" i="1"/>
  <c r="E96" i="8"/>
  <c r="E35" i="5"/>
  <c r="N9" i="2" l="1"/>
  <c r="L9" i="2"/>
  <c r="O69" i="8"/>
  <c r="B17" i="11"/>
  <c r="A5" i="6"/>
  <c r="A9" i="9"/>
  <c r="N28" i="2"/>
  <c r="L8" i="11"/>
  <c r="D23" i="5"/>
  <c r="J23" i="5" s="1"/>
  <c r="P23" i="5" s="1"/>
  <c r="R23" i="5" s="1"/>
  <c r="R20" i="5"/>
  <c r="D22" i="5"/>
  <c r="J22" i="5" s="1"/>
  <c r="P22" i="5" s="1"/>
  <c r="R22" i="5" s="1"/>
  <c r="P7" i="2"/>
  <c r="E97" i="8"/>
  <c r="E36" i="5"/>
  <c r="B5" i="5" s="1"/>
  <c r="D24" i="6" l="1"/>
  <c r="D33" i="11" s="1"/>
  <c r="O8" i="11" s="1"/>
  <c r="E24" i="6"/>
  <c r="E42" i="6" s="1"/>
  <c r="A49" i="6"/>
  <c r="U8" i="9"/>
  <c r="P9" i="2"/>
  <c r="A51" i="6"/>
  <c r="E14" i="6"/>
  <c r="E35" i="6" s="1"/>
  <c r="D14" i="6"/>
  <c r="D23" i="11" s="1"/>
  <c r="E31" i="5"/>
  <c r="B54" i="6"/>
  <c r="B53" i="6"/>
  <c r="B52" i="6"/>
  <c r="F20" i="5"/>
  <c r="L20" i="5" s="1"/>
  <c r="F23" i="5"/>
  <c r="L23" i="5" s="1"/>
  <c r="F22" i="5"/>
  <c r="L22" i="5" s="1"/>
  <c r="E98" i="8"/>
  <c r="D42" i="6" l="1"/>
  <c r="C25" i="9"/>
  <c r="X8" i="9" s="1"/>
  <c r="C15" i="9"/>
  <c r="D35" i="6"/>
  <c r="A50" i="6"/>
  <c r="C7" i="6" s="1"/>
  <c r="E99" i="8"/>
  <c r="E106" i="8" l="1"/>
  <c r="E107" i="8" l="1"/>
  <c r="E108" i="8" l="1"/>
  <c r="E109" i="8" l="1"/>
  <c r="E111" i="8" l="1"/>
  <c r="E114" i="8" l="1"/>
  <c r="E112" i="8"/>
  <c r="F76" i="8"/>
  <c r="D42" i="1" l="1"/>
  <c r="G114" i="8"/>
  <c r="G112" i="8"/>
  <c r="F114" i="8"/>
  <c r="F112" i="8"/>
  <c r="F78" i="8"/>
  <c r="F79" i="8" l="1"/>
  <c r="F81" i="8" l="1"/>
  <c r="F82" i="8" l="1"/>
  <c r="F84" i="8" l="1"/>
  <c r="F85" i="8" l="1"/>
  <c r="F87" i="8" l="1"/>
  <c r="F88" i="8" l="1"/>
  <c r="F90" i="8" l="1"/>
  <c r="F91" i="8" l="1"/>
  <c r="F93" i="8" l="1"/>
  <c r="F94" i="8" l="1"/>
  <c r="F96" i="8" l="1"/>
  <c r="F97" i="8" l="1"/>
  <c r="F98" i="8" l="1"/>
  <c r="F99" i="8" l="1"/>
  <c r="F106" i="8" l="1"/>
  <c r="F107" i="8" l="1"/>
  <c r="F108" i="8" l="1"/>
  <c r="F109" i="8" l="1"/>
  <c r="F111" i="8" l="1"/>
  <c r="G76" i="8" l="1"/>
  <c r="G78" i="8" l="1"/>
  <c r="G79" i="8" l="1"/>
  <c r="G81" i="8" l="1"/>
  <c r="G82" i="8" l="1"/>
  <c r="G84" i="8" l="1"/>
  <c r="G85" i="8" l="1"/>
  <c r="G87" i="8" l="1"/>
  <c r="G88" i="8" l="1"/>
  <c r="G90" i="8" l="1"/>
  <c r="G91" i="8" l="1"/>
  <c r="G93" i="8" l="1"/>
  <c r="G94" i="8" l="1"/>
  <c r="G96" i="8" l="1"/>
  <c r="G97" i="8" l="1"/>
  <c r="G98" i="8" l="1"/>
  <c r="G99" i="8" l="1"/>
  <c r="G106" i="8" l="1"/>
  <c r="G107" i="8" l="1"/>
  <c r="G108" i="8" l="1"/>
  <c r="G109" i="8" l="1"/>
  <c r="H112" i="8" l="1"/>
  <c r="H114" i="8"/>
  <c r="G111" i="8"/>
  <c r="H76" i="8" l="1"/>
  <c r="H78" i="8" l="1"/>
  <c r="H79" i="8" l="1"/>
  <c r="H81" i="8" l="1"/>
  <c r="H82" i="8" l="1"/>
  <c r="H84" i="8" l="1"/>
  <c r="H85" i="8" l="1"/>
  <c r="H87" i="8" l="1"/>
  <c r="H88" i="8" l="1"/>
  <c r="H90" i="8" l="1"/>
  <c r="H91" i="8" l="1"/>
  <c r="H93" i="8" l="1"/>
  <c r="H94" i="8" l="1"/>
  <c r="H96" i="8" l="1"/>
  <c r="H97" i="8" l="1"/>
  <c r="H98" i="8" l="1"/>
  <c r="H99" i="8" l="1"/>
  <c r="H106" i="8" l="1"/>
  <c r="H107" i="8" l="1"/>
  <c r="H108" i="8" l="1"/>
  <c r="H109" i="8" l="1"/>
  <c r="I114" i="8" l="1"/>
  <c r="I112" i="8"/>
  <c r="H111" i="8"/>
  <c r="I76" i="8" l="1"/>
  <c r="I78" i="8" l="1"/>
  <c r="I79" i="8" l="1"/>
  <c r="I81" i="8" l="1"/>
  <c r="I82" i="8" l="1"/>
  <c r="I84" i="8" l="1"/>
  <c r="I85" i="8" l="1"/>
  <c r="I87" i="8" l="1"/>
  <c r="I88" i="8" l="1"/>
  <c r="I90" i="8" l="1"/>
  <c r="I91" i="8" l="1"/>
  <c r="I93" i="8" l="1"/>
  <c r="I94" i="8" l="1"/>
  <c r="I96" i="8" l="1"/>
  <c r="I97" i="8" l="1"/>
  <c r="I98" i="8" l="1"/>
  <c r="I99" i="8" l="1"/>
  <c r="I106" i="8" l="1"/>
  <c r="I107" i="8" l="1"/>
  <c r="I108" i="8" l="1"/>
  <c r="I109" i="8" l="1"/>
  <c r="J114" i="8" l="1"/>
  <c r="J112" i="8"/>
  <c r="I111" i="8"/>
  <c r="J76" i="8" l="1"/>
  <c r="J78" i="8" l="1"/>
  <c r="J79" i="8" l="1"/>
  <c r="J81" i="8" l="1"/>
  <c r="J82" i="8" l="1"/>
  <c r="J84" i="8" l="1"/>
  <c r="J85" i="8" l="1"/>
  <c r="J87" i="8" l="1"/>
  <c r="J88" i="8" l="1"/>
  <c r="J90" i="8" l="1"/>
  <c r="J91" i="8" l="1"/>
  <c r="J93" i="8" l="1"/>
  <c r="J94" i="8" l="1"/>
  <c r="J96" i="8" l="1"/>
  <c r="J97" i="8" l="1"/>
  <c r="J98" i="8" l="1"/>
  <c r="J99" i="8" l="1"/>
  <c r="J106" i="8" l="1"/>
  <c r="J107" i="8" l="1"/>
  <c r="J108" i="8" l="1"/>
  <c r="J109" i="8" l="1"/>
  <c r="K114" i="8" l="1"/>
  <c r="K112" i="8"/>
  <c r="J111" i="8"/>
  <c r="D153" i="8" l="1"/>
  <c r="D41" i="1" s="1"/>
  <c r="K76" i="8"/>
  <c r="K78" i="8" l="1"/>
  <c r="K79" i="8" l="1"/>
  <c r="K81" i="8" l="1"/>
  <c r="K82" i="8" l="1"/>
  <c r="K84" i="8" l="1"/>
  <c r="K85" i="8" l="1"/>
  <c r="K87" i="8" l="1"/>
  <c r="K88" i="8" l="1"/>
  <c r="K90" i="8" l="1"/>
  <c r="K91" i="8" l="1"/>
  <c r="K93" i="8" l="1"/>
  <c r="K94" i="8" l="1"/>
  <c r="K96" i="8" l="1"/>
  <c r="K97" i="8" l="1"/>
  <c r="K98" i="8" l="1"/>
  <c r="K99" i="8" l="1"/>
  <c r="K106" i="8" l="1"/>
  <c r="K107" i="8" l="1"/>
  <c r="K108" i="8" l="1"/>
  <c r="K109" i="8" l="1"/>
  <c r="L112" i="8" l="1"/>
  <c r="L114" i="8"/>
  <c r="K111" i="8"/>
  <c r="D152" i="8" l="1"/>
  <c r="D40" i="1" s="1"/>
  <c r="L76" i="8"/>
  <c r="L78" i="8" l="1"/>
  <c r="L79" i="8" l="1"/>
  <c r="L81" i="8" l="1"/>
  <c r="L82" i="8" l="1"/>
  <c r="L84" i="8" l="1"/>
  <c r="L85" i="8" l="1"/>
  <c r="L87" i="8" l="1"/>
  <c r="L88" i="8" l="1"/>
  <c r="L90" i="8" l="1"/>
  <c r="L91" i="8" l="1"/>
  <c r="L93" i="8" l="1"/>
  <c r="L94" i="8" l="1"/>
  <c r="L96" i="8" l="1"/>
  <c r="L97" i="8" l="1"/>
  <c r="L98" i="8" l="1"/>
  <c r="L99" i="8" l="1"/>
  <c r="L106" i="8" l="1"/>
  <c r="L107" i="8" l="1"/>
  <c r="L108" i="8" l="1"/>
  <c r="L109" i="8" l="1"/>
  <c r="M114" i="8" l="1"/>
  <c r="M112" i="8"/>
  <c r="L111" i="8"/>
  <c r="M76" i="8" l="1"/>
  <c r="M78" i="8" l="1"/>
  <c r="M79" i="8" l="1"/>
  <c r="M81" i="8" l="1"/>
  <c r="M82" i="8" l="1"/>
  <c r="M84" i="8" l="1"/>
  <c r="M85" i="8" l="1"/>
  <c r="M87" i="8" l="1"/>
  <c r="M88" i="8" l="1"/>
  <c r="M90" i="8" l="1"/>
  <c r="M91" i="8" l="1"/>
  <c r="M93" i="8" l="1"/>
  <c r="M94" i="8" l="1"/>
  <c r="M96" i="8" l="1"/>
  <c r="M97" i="8" l="1"/>
  <c r="M98" i="8" l="1"/>
  <c r="M99" i="8" l="1"/>
  <c r="M106" i="8" l="1"/>
  <c r="M107" i="8" l="1"/>
  <c r="M108" i="8" l="1"/>
  <c r="M109" i="8" l="1"/>
  <c r="N114" i="8" l="1"/>
  <c r="O114" i="8" s="1"/>
  <c r="N112" i="8"/>
  <c r="O112" i="8" s="1"/>
  <c r="M111" i="8"/>
  <c r="D150" i="8" l="1"/>
  <c r="N76" i="8"/>
  <c r="O76" i="8" s="1"/>
  <c r="N78" i="8" l="1"/>
  <c r="O78" i="8" s="1"/>
  <c r="D137" i="8" s="1"/>
  <c r="N79" i="8" l="1"/>
  <c r="O79" i="8" s="1"/>
  <c r="N81" i="8" l="1"/>
  <c r="O81" i="8" s="1"/>
  <c r="D138" i="8" s="1"/>
  <c r="N82" i="8" l="1"/>
  <c r="O82" i="8" s="1"/>
  <c r="N84" i="8" l="1"/>
  <c r="O84" i="8" s="1"/>
  <c r="D139" i="8" s="1"/>
  <c r="D12" i="5" s="1"/>
  <c r="J12" i="5" s="1"/>
  <c r="P12" i="5" s="1"/>
  <c r="E20" i="6" l="1"/>
  <c r="E40" i="6" s="1"/>
  <c r="N85" i="8"/>
  <c r="O85" i="8" s="1"/>
  <c r="N87" i="8" l="1"/>
  <c r="O87" i="8" s="1"/>
  <c r="D140" i="8" s="1"/>
  <c r="D13" i="5" s="1"/>
  <c r="J13" i="5" s="1"/>
  <c r="P13" i="5" s="1"/>
  <c r="E18" i="6" l="1"/>
  <c r="E38" i="6" s="1"/>
  <c r="N88" i="8"/>
  <c r="O88" i="8" s="1"/>
  <c r="N90" i="8" l="1"/>
  <c r="O90" i="8" s="1"/>
  <c r="D142" i="8" s="1"/>
  <c r="D14" i="5" s="1"/>
  <c r="J14" i="5" s="1"/>
  <c r="P14" i="5" s="1"/>
  <c r="E19" i="6" l="1"/>
  <c r="E39" i="6" s="1"/>
  <c r="N91" i="8"/>
  <c r="O91" i="8" s="1"/>
  <c r="N93" i="8" l="1"/>
  <c r="O93" i="8" s="1"/>
  <c r="D143" i="8" s="1"/>
  <c r="D29" i="1" l="1"/>
  <c r="D17" i="5" s="1"/>
  <c r="J17" i="5" s="1"/>
  <c r="D15" i="5"/>
  <c r="J15" i="5" s="1"/>
  <c r="P15" i="5" s="1"/>
  <c r="D18" i="5"/>
  <c r="J18" i="5" s="1"/>
  <c r="P18" i="5" s="1"/>
  <c r="N94" i="8"/>
  <c r="O94" i="8" s="1"/>
  <c r="E17" i="6" l="1"/>
  <c r="E37" i="6" s="1"/>
  <c r="E13" i="6"/>
  <c r="E34" i="6" s="1"/>
  <c r="N96" i="8"/>
  <c r="O96" i="8" s="1"/>
  <c r="D144" i="8" s="1"/>
  <c r="P17" i="5" l="1"/>
  <c r="E10" i="6" s="1"/>
  <c r="E32" i="6" s="1"/>
  <c r="E12" i="5"/>
  <c r="K12" i="5" s="1"/>
  <c r="Q12" i="5" s="1"/>
  <c r="R12" i="5" s="1"/>
  <c r="E18" i="5"/>
  <c r="F18" i="5" s="1"/>
  <c r="L18" i="5" s="1"/>
  <c r="E17" i="5"/>
  <c r="K17" i="5" s="1"/>
  <c r="Q17" i="5" s="1"/>
  <c r="E15" i="5"/>
  <c r="K15" i="5" s="1"/>
  <c r="Q15" i="5" s="1"/>
  <c r="R15" i="5" s="1"/>
  <c r="E14" i="5"/>
  <c r="F14" i="5" s="1"/>
  <c r="L14" i="5" s="1"/>
  <c r="E13" i="5"/>
  <c r="F13" i="5" s="1"/>
  <c r="L13" i="5" s="1"/>
  <c r="N97" i="8"/>
  <c r="O97" i="8" s="1"/>
  <c r="R17" i="5" l="1"/>
  <c r="D10" i="6" s="1"/>
  <c r="D19" i="11" s="1"/>
  <c r="D20" i="11" s="1"/>
  <c r="I10" i="11" s="1"/>
  <c r="E11" i="6"/>
  <c r="K11" i="6" s="1"/>
  <c r="F12" i="5"/>
  <c r="L12" i="5" s="1"/>
  <c r="K14" i="5"/>
  <c r="Q14" i="5" s="1"/>
  <c r="F17" i="5"/>
  <c r="L17" i="5" s="1"/>
  <c r="F15" i="5"/>
  <c r="L15" i="5" s="1"/>
  <c r="K18" i="5"/>
  <c r="Q18" i="5" s="1"/>
  <c r="K13" i="5"/>
  <c r="Q13" i="5" s="1"/>
  <c r="F10" i="6"/>
  <c r="F20" i="6"/>
  <c r="F40" i="6" s="1"/>
  <c r="D20" i="6"/>
  <c r="D29" i="11" s="1"/>
  <c r="F17" i="6"/>
  <c r="D17" i="6"/>
  <c r="D26" i="11" s="1"/>
  <c r="N98" i="8"/>
  <c r="O98" i="8" s="1"/>
  <c r="F18" i="6" l="1"/>
  <c r="F38" i="6" s="1"/>
  <c r="R13" i="5"/>
  <c r="D18" i="6" s="1"/>
  <c r="D27" i="11" s="1"/>
  <c r="R14" i="5"/>
  <c r="D19" i="6" s="1"/>
  <c r="R18" i="5"/>
  <c r="D13" i="6" s="1"/>
  <c r="F19" i="6"/>
  <c r="F39" i="6" s="1"/>
  <c r="F13" i="6"/>
  <c r="F34" i="6" s="1"/>
  <c r="D11" i="6"/>
  <c r="D32" i="6"/>
  <c r="C11" i="9"/>
  <c r="C12" i="9" s="1"/>
  <c r="D37" i="6"/>
  <c r="C18" i="9"/>
  <c r="D40" i="6"/>
  <c r="C21" i="9"/>
  <c r="F32" i="6"/>
  <c r="F11" i="6"/>
  <c r="K12" i="6" s="1"/>
  <c r="F37" i="6"/>
  <c r="N99" i="8"/>
  <c r="O99" i="8" s="1"/>
  <c r="D145" i="8" s="1"/>
  <c r="D22" i="11" l="1"/>
  <c r="D34" i="6"/>
  <c r="C14" i="9"/>
  <c r="D28" i="11"/>
  <c r="D39" i="6"/>
  <c r="C20" i="9"/>
  <c r="D19" i="5"/>
  <c r="J19" i="5" s="1"/>
  <c r="P19" i="5" s="1"/>
  <c r="C19" i="9"/>
  <c r="D38" i="6"/>
  <c r="N106" i="8"/>
  <c r="O106" i="8" s="1"/>
  <c r="E12" i="6" l="1"/>
  <c r="E33" i="6" s="1"/>
  <c r="N107" i="8"/>
  <c r="O107" i="8" s="1"/>
  <c r="N108" i="8" l="1"/>
  <c r="O108" i="8" s="1"/>
  <c r="D148" i="8" s="1"/>
  <c r="E19" i="5" s="1"/>
  <c r="K19" i="5" l="1"/>
  <c r="Q19" i="5" s="1"/>
  <c r="F19" i="5"/>
  <c r="L19" i="5" s="1"/>
  <c r="N111" i="8"/>
  <c r="O111" i="8" s="1"/>
  <c r="N109" i="8"/>
  <c r="O109" i="8" s="1"/>
  <c r="R19" i="5" l="1"/>
  <c r="D12" i="6" s="1"/>
  <c r="D149" i="8"/>
  <c r="F12" i="6"/>
  <c r="F16" i="6" s="1"/>
  <c r="AJ14" i="2"/>
  <c r="AP15" i="2"/>
  <c r="AD19" i="2"/>
  <c r="AD21" i="2" s="1"/>
  <c r="D21" i="11" l="1"/>
  <c r="C13" i="9"/>
  <c r="D33" i="6"/>
  <c r="F33" i="6"/>
  <c r="K14" i="6"/>
  <c r="AM15" i="2"/>
  <c r="AP16" i="2"/>
  <c r="AM14" i="2"/>
  <c r="AP14" i="2"/>
  <c r="AM16" i="2"/>
  <c r="AD20" i="2"/>
  <c r="N13" i="2" s="1"/>
  <c r="D21" i="5" s="1"/>
  <c r="J21" i="5" s="1"/>
  <c r="P21" i="5" s="1"/>
  <c r="R21" i="5" l="1"/>
  <c r="R26" i="5"/>
  <c r="E15" i="6" l="1"/>
  <c r="E36" i="6" s="1"/>
  <c r="F21" i="5"/>
  <c r="L21" i="5" s="1"/>
  <c r="E16" i="6" l="1"/>
  <c r="D15" i="6"/>
  <c r="D24" i="11" s="1"/>
  <c r="D25" i="11" s="1"/>
  <c r="D16" i="6" l="1"/>
  <c r="C16" i="9"/>
  <c r="C17" i="9" s="1"/>
  <c r="D36" i="6"/>
  <c r="K13" i="6"/>
  <c r="D16" i="5" l="1"/>
  <c r="J16" i="5" s="1"/>
  <c r="P16" i="5" s="1"/>
  <c r="E16" i="5"/>
  <c r="K16" i="5" s="1"/>
  <c r="E21" i="6" l="1"/>
  <c r="E41" i="6" l="1"/>
  <c r="E22" i="6"/>
  <c r="E23" i="6" l="1"/>
  <c r="K15" i="6"/>
  <c r="F16" i="5" l="1"/>
  <c r="L16" i="5" s="1"/>
  <c r="Q16" i="5"/>
  <c r="F21" i="6" l="1"/>
  <c r="R16" i="5"/>
  <c r="D21" i="6" l="1"/>
  <c r="R25" i="5"/>
  <c r="F41" i="6"/>
  <c r="F22" i="6"/>
  <c r="K16" i="6" l="1"/>
  <c r="F23" i="6"/>
  <c r="D22" i="6"/>
  <c r="D23" i="6" s="1"/>
  <c r="C22" i="9"/>
  <c r="C24" i="9" s="1"/>
  <c r="D30" i="11"/>
  <c r="D32" i="11" s="1"/>
  <c r="D41" i="6"/>
  <c r="W8" i="9" l="1"/>
  <c r="C23" i="9"/>
  <c r="V8" i="9" s="1"/>
  <c r="D31" i="11"/>
  <c r="M8" i="11" s="1"/>
  <c r="Q8" i="11" s="1"/>
  <c r="N8" i="11"/>
</calcChain>
</file>

<file path=xl/sharedStrings.xml><?xml version="1.0" encoding="utf-8"?>
<sst xmlns="http://schemas.openxmlformats.org/spreadsheetml/2006/main" count="999" uniqueCount="481">
  <si>
    <t>Total DRAM Power Consumed</t>
  </si>
  <si>
    <t>Minimum activate-to-activate timing (Same bank)</t>
  </si>
  <si>
    <t>The percentage of the all bank precharge time for which CKE is held LOW</t>
  </si>
  <si>
    <t>Background power used during active power-down</t>
  </si>
  <si>
    <t>The percentage of the at least one bank active time for which CKE is held LOW</t>
  </si>
  <si>
    <t>Power Calcs tab</t>
  </si>
  <si>
    <t>Summary tab</t>
  </si>
  <si>
    <t>VCC</t>
  </si>
  <si>
    <t>mW</t>
  </si>
  <si>
    <t>MHz</t>
  </si>
  <si>
    <t>V</t>
  </si>
  <si>
    <t>mA</t>
  </si>
  <si>
    <t>Read Bandwidth</t>
  </si>
  <si>
    <t>DRAM write power</t>
  </si>
  <si>
    <t>DRAM power for ACT/PRE commands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</si>
  <si>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</si>
  <si>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</si>
  <si>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</si>
  <si>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</si>
  <si>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</si>
  <si>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</si>
  <si>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</si>
  <si>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Term power for writes</t>
  </si>
  <si>
    <t>tRAS used for IDD0 Calcualtion</t>
  </si>
  <si>
    <t>Term power for writes from another rank</t>
  </si>
  <si>
    <t>Write Bandwidth</t>
  </si>
  <si>
    <t>MB/sec</t>
  </si>
  <si>
    <t>ns</t>
  </si>
  <si>
    <t>File Name</t>
  </si>
  <si>
    <t>Revision</t>
  </si>
  <si>
    <t>Date</t>
  </si>
  <si>
    <t>Company</t>
  </si>
  <si>
    <t>Description</t>
  </si>
  <si>
    <t>Notes</t>
  </si>
  <si>
    <t>Disclaimer</t>
  </si>
  <si>
    <t>Micron Technology, Inc.</t>
  </si>
  <si>
    <t>:</t>
  </si>
  <si>
    <t>Density</t>
  </si>
  <si>
    <t>Speed Grade</t>
  </si>
  <si>
    <t>Value</t>
  </si>
  <si>
    <t>Units</t>
  </si>
  <si>
    <t>Parameter</t>
  </si>
  <si>
    <t>Condition</t>
  </si>
  <si>
    <t>FREQ</t>
  </si>
  <si>
    <t>Device</t>
  </si>
  <si>
    <t>IO</t>
  </si>
  <si>
    <t>Limitations</t>
  </si>
  <si>
    <t>DRAM read power</t>
  </si>
  <si>
    <t>Average clocks between colum</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</si>
  <si>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</si>
  <si>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</si>
  <si>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</si>
  <si>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</si>
  <si>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</si>
  <si>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</si>
  <si>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</si>
  <si>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</si>
  <si>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</si>
  <si>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</si>
  <si>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</si>
  <si>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</si>
  <si>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</si>
  <si>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</si>
  <si>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</si>
  <si>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</si>
  <si>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</si>
  <si>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Maximum Active Precharge Current</t>
  </si>
  <si>
    <t>BNK_PRE%</t>
  </si>
  <si>
    <t>PdqRD</t>
  </si>
  <si>
    <t>PdqWR</t>
  </si>
  <si>
    <t>PdqWRoth</t>
  </si>
  <si>
    <t>PdqRDoth</t>
  </si>
  <si>
    <t>Term power for reads from another rank</t>
  </si>
  <si>
    <t>Minimum refresh to refresh cycle time</t>
  </si>
  <si>
    <t>Average periodic refresh cycle time</t>
  </si>
  <si>
    <t>tCK(min)</t>
  </si>
  <si>
    <t>tCK(max)</t>
  </si>
  <si>
    <t>Term</t>
  </si>
  <si>
    <t>DQs per DRAM</t>
  </si>
  <si>
    <t>x16</t>
  </si>
  <si>
    <t>x4</t>
  </si>
  <si>
    <t>x8</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</si>
  <si>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</si>
  <si>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</si>
  <si>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</si>
  <si>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</si>
  <si>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</si>
  <si>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</si>
  <si>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</si>
  <si>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</si>
  <si>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</si>
  <si>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</si>
  <si>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</si>
  <si>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</si>
  <si>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</si>
  <si>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</si>
  <si>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</si>
  <si>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</si>
  <si>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</si>
  <si>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</si>
  <si>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</si>
  <si>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</si>
  <si>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</si>
  <si>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</si>
  <si>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</si>
  <si>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</si>
  <si>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</si>
  <si>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</si>
  <si>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</si>
  <si>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</si>
  <si>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</si>
  <si>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</si>
  <si>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</si>
  <si>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All rights reserved.</t>
  </si>
  <si>
    <t>Instructions for Use</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</si>
  <si>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</si>
  <si>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precharge power-down standby current</t>
  </si>
  <si>
    <t>Maximum precharge standby current</t>
  </si>
  <si>
    <t>Maximum active power-down standby current</t>
  </si>
  <si>
    <t>Maximum active standby current</t>
  </si>
  <si>
    <t>Maximum read burst current</t>
  </si>
  <si>
    <t>Maximum write burst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</si>
  <si>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</si>
  <si>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</si>
  <si>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</si>
  <si>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</si>
  <si>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</si>
  <si>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Burst length</t>
  </si>
  <si>
    <t>Page hit rate</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</si>
  <si>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</si>
  <si>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</si>
  <si>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</si>
  <si>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</si>
  <si>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</si>
  <si>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</si>
  <si>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</si>
  <si>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</si>
  <si>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</si>
  <si>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</si>
  <si>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</si>
  <si>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</si>
  <si>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</si>
  <si>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t</t>
    </r>
    <r>
      <rPr>
        <sz val="10"/>
        <rFont val="Arial"/>
        <family val="2"/>
      </rPr>
      <t>RFC(min)</t>
    </r>
  </si>
  <si>
    <r>
      <t>t</t>
    </r>
    <r>
      <rPr>
        <sz val="11"/>
        <rFont val="Arial"/>
        <family val="2"/>
      </rPr>
      <t>CK used for current measurements (see current notes)</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</si>
  <si>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</si>
  <si>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</si>
  <si>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</si>
  <si>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</si>
  <si>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</si>
  <si>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</si>
  <si>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</si>
  <si>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</si>
  <si>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</si>
  <si>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r>
      <t>Power Scaled for Actual System Conditions (DRAM Usage, CK Frequency, and V</t>
    </r>
    <r>
      <rPr>
        <b/>
        <sz val="8"/>
        <color indexed="9"/>
        <rFont val="Arial"/>
        <family val="2"/>
      </rPr>
      <t>CC)</t>
    </r>
  </si>
  <si>
    <t>µs</t>
  </si>
  <si>
    <t>4Gb</t>
  </si>
  <si>
    <t xml:space="preserve">Maximum active power-down standby current </t>
  </si>
  <si>
    <r>
      <t>I</t>
    </r>
    <r>
      <rPr>
        <sz val="9"/>
        <rFont val="Arial"/>
        <family val="2"/>
      </rPr>
      <t>DD</t>
    </r>
    <r>
      <rPr>
        <sz val="11"/>
        <rFont val="Arial"/>
        <family val="2"/>
      </rPr>
      <t>0</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</si>
  <si>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</si>
  <si>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</si>
  <si>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</si>
  <si>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</si>
  <si>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</si>
  <si>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</si>
  <si>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</si>
  <si>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</si>
  <si>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</si>
  <si>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</si>
  <si>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</si>
  <si>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</si>
  <si>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</si>
  <si>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System V</t>
    </r>
    <r>
      <rPr>
        <sz val="9"/>
        <rFont val="Arial"/>
        <family val="2"/>
      </rPr>
      <t>DD</t>
    </r>
  </si>
  <si>
    <r>
      <t>Row 7 is the actual V</t>
    </r>
    <r>
      <rPr>
        <b/>
        <sz val="8"/>
        <rFont val="Arial"/>
        <family val="2"/>
      </rPr>
      <t>DD</t>
    </r>
    <r>
      <rPr>
        <b/>
        <sz val="10"/>
        <rFont val="Arial"/>
        <family val="2"/>
      </rPr>
      <t xml:space="preserve"> the system is operating at. It is usually set to nominal conditions.</t>
    </r>
  </si>
  <si>
    <t>Row 7 selects which DRAM density.</t>
  </si>
  <si>
    <t>No inputs are required for this tab. It contains a summary of the power used by the DRAM. The power is broken out between:
  — Power to read/write data to and from the DRAM
  — Power to activate the rows
  — Background power for standby modes and refresh</t>
  </si>
  <si>
    <t xml:space="preserve"> </t>
  </si>
  <si>
    <t>-107E</t>
  </si>
  <si>
    <t>-093</t>
  </si>
  <si>
    <t>-093E</t>
  </si>
  <si>
    <t>RTTuC=</t>
  </si>
  <si>
    <t>RTTu2=</t>
  </si>
  <si>
    <t>RzC=</t>
  </si>
  <si>
    <t>Rz =   (mW)</t>
  </si>
  <si>
    <t>VDDq=</t>
  </si>
  <si>
    <t>Rs1 =   (mW)</t>
  </si>
  <si>
    <t>Rs2=   (mW)</t>
  </si>
  <si>
    <t>Rs2=</t>
  </si>
  <si>
    <t>Rs1=   (mW)</t>
  </si>
  <si>
    <t>RTTd2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</si>
  <si>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</si>
  <si>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</si>
  <si>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</si>
  <si>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</si>
  <si>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</si>
  <si>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</si>
  <si>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</si>
  <si>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</si>
  <si>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READ  I/O  Power</t>
  </si>
  <si>
    <t>WRITE  I/O  Power</t>
  </si>
  <si>
    <t xml:space="preserve">                                         Do Not Go Below This Box                                                            Do Not Go Below This Box                                                           Do Not Go Below This Box                                                           Do Not Go Below This Box                                                             Do Not Go Below This Box                                                           Do Not Go Below This Box                                                           Do Not Go Below This Box                                                           Do Not Go Below This Box                  </t>
  </si>
  <si>
    <t>2nd rank DRAM Power Consumed</t>
  </si>
  <si>
    <t>PRE_PDN</t>
  </si>
  <si>
    <t>PRE_STBY</t>
  </si>
  <si>
    <t>ACT_PDN</t>
  </si>
  <si>
    <t>Psys Power Consumption Summary</t>
  </si>
  <si>
    <t>ACT_STBY</t>
  </si>
  <si>
    <t>REF</t>
  </si>
  <si>
    <t>ACT</t>
  </si>
  <si>
    <t>WR</t>
  </si>
  <si>
    <t>RD</t>
  </si>
  <si>
    <t>READ I/O</t>
  </si>
  <si>
    <t>Write ODT</t>
  </si>
  <si>
    <t>TERM 2nd rank</t>
  </si>
  <si>
    <t>8Gb</t>
  </si>
  <si>
    <t>16Gb</t>
  </si>
  <si>
    <t>-083</t>
  </si>
  <si>
    <t>-083E</t>
  </si>
  <si>
    <t>-075</t>
  </si>
  <si>
    <t>-075E</t>
  </si>
  <si>
    <t>Active Bank Precharge Current</t>
  </si>
  <si>
    <r>
      <t>I</t>
    </r>
    <r>
      <rPr>
        <sz val="9"/>
        <rFont val="Arial"/>
        <family val="2"/>
      </rPr>
      <t>PP</t>
    </r>
    <r>
      <rPr>
        <sz val="11"/>
        <rFont val="Arial"/>
        <family val="2"/>
      </rPr>
      <t>0</t>
    </r>
  </si>
  <si>
    <t>Word Line Boost Current</t>
  </si>
  <si>
    <r>
      <t>t</t>
    </r>
    <r>
      <rPr>
        <sz val="11"/>
        <rFont val="Arial"/>
        <family val="2"/>
      </rPr>
      <t>RRD_s</t>
    </r>
  </si>
  <si>
    <t>Minimum activate-to-activate timing (different bank, different BG)</t>
  </si>
  <si>
    <r>
      <t>t</t>
    </r>
    <r>
      <rPr>
        <sz val="11"/>
        <rFont val="Arial"/>
        <family val="2"/>
      </rPr>
      <t>RRD_L</t>
    </r>
  </si>
  <si>
    <t>Minimum activate-to-activate timing (different bank, same BG)</t>
  </si>
  <si>
    <t>DRAM Width (Number of DQs per )</t>
  </si>
  <si>
    <t>DDR4_Power_Calc.XLSM</t>
  </si>
  <si>
    <t>DDR4 Spec tab (ALL MUST BE VERIFIED FOR A SPECIFIC DRAM DATA SHEET)</t>
  </si>
  <si>
    <t>tCKavg</t>
  </si>
  <si>
    <r>
      <t>t</t>
    </r>
    <r>
      <rPr>
        <sz val="10"/>
        <rFont val="Arial"/>
        <family val="2"/>
      </rPr>
      <t xml:space="preserve">CK used for current measurements </t>
    </r>
  </si>
  <si>
    <r>
      <t>t</t>
    </r>
    <r>
      <rPr>
        <sz val="10"/>
        <rFont val="Arial"/>
        <family val="2"/>
      </rPr>
      <t>RRD_s</t>
    </r>
  </si>
  <si>
    <r>
      <t>t</t>
    </r>
    <r>
      <rPr>
        <sz val="10"/>
        <rFont val="Arial"/>
        <family val="2"/>
      </rPr>
      <t>RRD_L</t>
    </r>
  </si>
  <si>
    <t>Minimum activate-to-activate timing (different BG)</t>
  </si>
  <si>
    <t>Minimum activate-to-activate timing (same BG)</t>
  </si>
  <si>
    <r>
      <t>t</t>
    </r>
    <r>
      <rPr>
        <sz val="11"/>
        <rFont val="Arial"/>
        <family val="2"/>
      </rPr>
      <t>RRD_S</t>
    </r>
  </si>
  <si>
    <t>tCK</t>
  </si>
  <si>
    <t>DDR4 SDRAM Configuration</t>
  </si>
  <si>
    <t>System CK frequency (data rate /2)</t>
  </si>
  <si>
    <t>Calculates the power consumed by a DDR4 SDRAM based on system use parameters and the device data sheet.</t>
  </si>
  <si>
    <t>Maximum standby Ipp current</t>
  </si>
  <si>
    <r>
      <t>Minimum V</t>
    </r>
    <r>
      <rPr>
        <sz val="9"/>
        <rFont val="Arial"/>
        <family val="2"/>
      </rPr>
      <t>PP</t>
    </r>
  </si>
  <si>
    <r>
      <t>Maximum V</t>
    </r>
    <r>
      <rPr>
        <sz val="9"/>
        <rFont val="Arial"/>
        <family val="2"/>
      </rPr>
      <t>PP</t>
    </r>
  </si>
  <si>
    <r>
      <t>I</t>
    </r>
    <r>
      <rPr>
        <sz val="9"/>
        <rFont val="Arial"/>
        <family val="2"/>
      </rPr>
      <t>PP</t>
    </r>
    <r>
      <rPr>
        <sz val="11"/>
        <rFont val="Arial"/>
        <family val="2"/>
      </rPr>
      <t>SB</t>
    </r>
  </si>
  <si>
    <r>
      <t>I</t>
    </r>
    <r>
      <rPr>
        <sz val="8"/>
        <rFont val="Arial"/>
        <family val="2"/>
      </rPr>
      <t>PP</t>
    </r>
    <r>
      <rPr>
        <sz val="10"/>
        <rFont val="Arial"/>
        <family val="2"/>
      </rPr>
      <t>SB</t>
    </r>
  </si>
  <si>
    <r>
      <t>I</t>
    </r>
    <r>
      <rPr>
        <sz val="8"/>
        <rFont val="Arial"/>
        <family val="2"/>
      </rPr>
      <t>PP</t>
    </r>
    <r>
      <rPr>
        <sz val="10"/>
        <rFont val="Arial"/>
        <family val="2"/>
      </rPr>
      <t>0</t>
    </r>
  </si>
  <si>
    <t>System VPP</t>
  </si>
  <si>
    <r>
      <t>Maximum V</t>
    </r>
    <r>
      <rPr>
        <sz val="8"/>
        <rFont val="Arial"/>
        <family val="2"/>
      </rPr>
      <t>PP</t>
    </r>
  </si>
  <si>
    <r>
      <t>Minimum V</t>
    </r>
    <r>
      <rPr>
        <sz val="8"/>
        <rFont val="Arial"/>
        <family val="2"/>
      </rPr>
      <t>PP</t>
    </r>
  </si>
  <si>
    <t xml:space="preserve">must be either BC 4 or BL8 </t>
  </si>
  <si>
    <r>
      <t>DDR4 SDRAM output power per individual DQ on this DRAM during</t>
    </r>
    <r>
      <rPr>
        <sz val="11"/>
        <color indexed="10"/>
        <rFont val="Arial"/>
        <family val="2"/>
      </rPr>
      <t xml:space="preserve"> READ</t>
    </r>
    <r>
      <rPr>
        <sz val="11"/>
        <color indexed="8"/>
        <rFont val="Arial"/>
        <family val="2"/>
      </rPr>
      <t>s from this DRAM</t>
    </r>
  </si>
  <si>
    <t>DDR4 SDRAM termination power per individual DQ during WRITEs to this DRAM</t>
  </si>
  <si>
    <t>The percentage of clock cycles which are terminating read data to another DRAM Rank*</t>
  </si>
  <si>
    <t>The percentage of clock cycles which are terminating write data to another DRAM Rank*</t>
  </si>
  <si>
    <t>* must be 0% for a 1-rank system</t>
  </si>
  <si>
    <r>
      <t>Enter V</t>
    </r>
    <r>
      <rPr>
        <b/>
        <sz val="8"/>
        <rFont val="Arial"/>
        <family val="2"/>
      </rPr>
      <t>DD</t>
    </r>
    <r>
      <rPr>
        <b/>
        <sz val="10"/>
        <rFont val="Arial"/>
        <family val="2"/>
      </rPr>
      <t xml:space="preserve"> tolerance range in rows 7-8.</t>
    </r>
  </si>
  <si>
    <r>
      <t>Enter V</t>
    </r>
    <r>
      <rPr>
        <b/>
        <sz val="8"/>
        <rFont val="Arial"/>
        <family val="2"/>
      </rPr>
      <t>PP</t>
    </r>
    <r>
      <rPr>
        <b/>
        <sz val="10"/>
        <rFont val="Arial"/>
        <family val="2"/>
      </rPr>
      <t xml:space="preserve"> tolerance range in rows 9-10.</t>
    </r>
  </si>
  <si>
    <r>
      <t>Row 8 is the actual V</t>
    </r>
    <r>
      <rPr>
        <b/>
        <sz val="8"/>
        <rFont val="Arial"/>
        <family val="2"/>
      </rPr>
      <t>PP</t>
    </r>
    <r>
      <rPr>
        <b/>
        <sz val="10"/>
        <rFont val="Arial"/>
        <family val="2"/>
      </rPr>
      <t xml:space="preserve"> the system is operating at. It is usually set to nominal conditions.</t>
    </r>
  </si>
  <si>
    <t>Row 10 is the burst length programmed in the mode register. (The model does not calculate power if burst interrupt is utilized.)</t>
  </si>
  <si>
    <r>
      <t>Maximum V</t>
    </r>
    <r>
      <rPr>
        <sz val="9"/>
        <rFont val="Arial"/>
        <family val="2"/>
      </rPr>
      <t xml:space="preserve">DD </t>
    </r>
    <r>
      <rPr>
        <sz val="11"/>
        <rFont val="Arial"/>
        <family val="2"/>
      </rPr>
      <t>active precharge current</t>
    </r>
  </si>
  <si>
    <r>
      <t>Maximum V</t>
    </r>
    <r>
      <rPr>
        <sz val="9"/>
        <rFont val="Arial"/>
        <family val="2"/>
      </rPr>
      <t>PP</t>
    </r>
    <r>
      <rPr>
        <sz val="11"/>
        <rFont val="Arial"/>
        <family val="2"/>
      </rPr>
      <t xml:space="preserve"> active precharge current</t>
    </r>
  </si>
  <si>
    <r>
      <t>Row 12</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</si>
  <si>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13</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</si>
  <si>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t>DDR4 SDRAM termination power per individual DQ during READs from other DRAM Rank*</t>
  </si>
  <si>
    <t>DDR4 SDRAM termination power per individual DQ during WRITEs to other DRAM Rank*</t>
  </si>
  <si>
    <r>
      <t>Row 14</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 Rank</t>
    </r>
    <r>
      <rPr>
        <b/>
        <sz val="10"/>
        <color indexed="8"/>
        <rFont val="Arial"/>
        <family val="2"/>
      </rPr>
      <t xml:space="preserve"> (two or more loads). </t>
    </r>
  </si>
  <si>
    <r>
      <t>Row 15</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 Rank</t>
    </r>
    <r>
      <rPr>
        <b/>
        <sz val="10"/>
        <rFont val="Arial"/>
        <family val="2"/>
      </rPr>
      <t xml:space="preserve"> (two or more loads). </t>
    </r>
  </si>
  <si>
    <t>Maximum Active Word line Boost</t>
  </si>
  <si>
    <t>Maximum Standby Word line Boost</t>
  </si>
  <si>
    <r>
      <t>Maximum V</t>
    </r>
    <r>
      <rPr>
        <sz val="9"/>
        <rFont val="Arial"/>
        <family val="2"/>
      </rPr>
      <t>PP</t>
    </r>
    <r>
      <rPr>
        <sz val="11"/>
        <rFont val="Arial"/>
        <family val="2"/>
      </rPr>
      <t xml:space="preserve"> standby current</t>
    </r>
  </si>
  <si>
    <t>Off</t>
  </si>
  <si>
    <t>On</t>
  </si>
  <si>
    <t>DBI Mode enabled</t>
  </si>
  <si>
    <t>Total DDR4 SDRAM Power</t>
  </si>
  <si>
    <t>Maximum Power Based on Data Sheet Test Conditions and Maximum Limits when in this state</t>
  </si>
  <si>
    <t>RTTPUC =   (mW)</t>
  </si>
  <si>
    <t>RzC =   (mW)</t>
  </si>
  <si>
    <t>RTTPUd1 =   (mW)</t>
  </si>
  <si>
    <t>RTTPUd2 =   (mW)</t>
  </si>
  <si>
    <t>Rs2=      (mW)</t>
  </si>
  <si>
    <r>
      <t xml:space="preserve">System Config Usage Conditions tab </t>
    </r>
    <r>
      <rPr>
        <b/>
        <sz val="12"/>
        <color indexed="10"/>
        <rFont val="Arial"/>
        <family val="2"/>
      </rPr>
      <t>(ALL MUST BE ENTERED FOR SPECIFIC SYSTEM)</t>
    </r>
  </si>
  <si>
    <t>Calculated values in light green; do not make entries in these slots</t>
  </si>
  <si>
    <t>ODT write</t>
  </si>
  <si>
    <t>I/O driver</t>
  </si>
  <si>
    <t>DBI</t>
  </si>
  <si>
    <t>Strobes</t>
  </si>
  <si>
    <t>RTTu2-RD</t>
  </si>
  <si>
    <t>RTTu2-WR</t>
  </si>
  <si>
    <t>0 = Disabled</t>
  </si>
  <si>
    <t>Values that require input are shown in dark green. These will be dependent on how the system accesses the DRAM.</t>
  </si>
  <si>
    <t xml:space="preserve">This value is the DRAM I/O power plus module series resistor power per DQ.   The calculator to the right will estimate and populate the entries to the left </t>
  </si>
  <si>
    <t xml:space="preserve">  Rz1=</t>
  </si>
  <si>
    <t xml:space="preserve">  Rs1=</t>
  </si>
  <si>
    <t xml:space="preserve">  RTTu1=</t>
  </si>
  <si>
    <t xml:space="preserve">  Rs2=</t>
  </si>
  <si>
    <t xml:space="preserve">  RTTu2=</t>
  </si>
  <si>
    <t>Values that require input are shown in white field or in drop box. These will be dependent on how the system accesses the DRAM.</t>
  </si>
  <si>
    <t>-062E</t>
  </si>
  <si>
    <t>-068</t>
  </si>
  <si>
    <t>-068E</t>
  </si>
  <si>
    <t>VDD</t>
  </si>
  <si>
    <t>VPP</t>
  </si>
  <si>
    <t>Total</t>
  </si>
  <si>
    <t>Calculated values in green boxes below</t>
  </si>
  <si>
    <t>Enter values in dark blue boxes below</t>
  </si>
  <si>
    <r>
      <t>t</t>
    </r>
    <r>
      <rPr>
        <sz val="11"/>
        <rFont val="Arial"/>
        <family val="2"/>
      </rPr>
      <t>RRDsch*</t>
    </r>
  </si>
  <si>
    <t>MT/s</t>
  </si>
  <si>
    <t xml:space="preserve"> &lt;==</t>
  </si>
  <si>
    <t xml:space="preserve">If x4 and x8 IDDs are listed in the datasheet together, use the same value in each table entry. </t>
  </si>
  <si>
    <t>Row 9 is the clock rate the DRAM is operating at. This is one half of the data rate. Calculator inserts clock rate selected, maybe over written; if done, spare formula to the left may be pasted</t>
  </si>
  <si>
    <r>
      <t>I</t>
    </r>
    <r>
      <rPr>
        <sz val="9"/>
        <rFont val="Arial"/>
        <family val="2"/>
      </rPr>
      <t>DD</t>
    </r>
    <r>
      <rPr>
        <sz val="11"/>
        <rFont val="Arial"/>
        <family val="2"/>
      </rPr>
      <t>5B</t>
    </r>
  </si>
  <si>
    <t>Activate Power</t>
  </si>
  <si>
    <t>RD/WR/Term Power</t>
  </si>
  <si>
    <t>Background  Power</t>
  </si>
  <si>
    <t>VDD Activate Power</t>
  </si>
  <si>
    <t>VPP Activate Power</t>
  </si>
  <si>
    <t>VDD RD/WR/Term Power</t>
  </si>
  <si>
    <t>VPP RD/WR/Term Power</t>
  </si>
  <si>
    <t>VDD Background  Power</t>
  </si>
  <si>
    <t>VPP Background  Power</t>
  </si>
  <si>
    <t>DDR4</t>
  </si>
  <si>
    <t>stack</t>
  </si>
  <si>
    <t>Data Rate MT/s</t>
  </si>
  <si>
    <t>Rank</t>
  </si>
  <si>
    <t>SDP</t>
  </si>
  <si>
    <t>dual</t>
  </si>
  <si>
    <t>condition</t>
  </si>
  <si>
    <t>Power Total PR    (mW)</t>
  </si>
  <si>
    <t>Power standby  (mW)</t>
  </si>
  <si>
    <t>Power Terminate  (mW)</t>
  </si>
  <si>
    <t xml:space="preserve">UDIMM power (W) </t>
  </si>
  <si>
    <t xml:space="preserve">RDIMM power (W) </t>
  </si>
  <si>
    <t>DDR4 SDRAM Power</t>
  </si>
  <si>
    <r>
      <t>I</t>
    </r>
    <r>
      <rPr>
        <sz val="9"/>
        <rFont val="Arial"/>
        <family val="2"/>
      </rPr>
      <t>PP</t>
    </r>
    <r>
      <rPr>
        <sz val="11"/>
        <rFont val="Arial"/>
        <family val="2"/>
      </rPr>
      <t>4R</t>
    </r>
  </si>
  <si>
    <r>
      <t>I</t>
    </r>
    <r>
      <rPr>
        <sz val="9"/>
        <rFont val="Arial"/>
        <family val="2"/>
      </rPr>
      <t>PP</t>
    </r>
    <r>
      <rPr>
        <sz val="11"/>
        <rFont val="Arial"/>
        <family val="2"/>
      </rPr>
      <t>4W</t>
    </r>
  </si>
  <si>
    <r>
      <t>I</t>
    </r>
    <r>
      <rPr>
        <sz val="8"/>
        <rFont val="Arial"/>
        <family val="2"/>
      </rPr>
      <t>PP</t>
    </r>
    <r>
      <rPr>
        <sz val="10"/>
        <rFont val="Arial"/>
        <family val="2"/>
      </rPr>
      <t>4W</t>
    </r>
  </si>
  <si>
    <r>
      <t>I</t>
    </r>
    <r>
      <rPr>
        <sz val="8"/>
        <rFont val="Arial"/>
        <family val="2"/>
      </rPr>
      <t>PP</t>
    </r>
    <r>
      <rPr>
        <sz val="10"/>
        <rFont val="Arial"/>
        <family val="2"/>
      </rPr>
      <t>4R</t>
    </r>
  </si>
  <si>
    <t>Maximum VPP read burst current</t>
  </si>
  <si>
    <t>Maximum VPP write burst current</t>
  </si>
  <si>
    <t xml:space="preserve">  </t>
  </si>
  <si>
    <t>IPP0</t>
  </si>
  <si>
    <t>IPP3N</t>
  </si>
  <si>
    <t>IPP4R</t>
  </si>
  <si>
    <t>IPP4W</t>
  </si>
  <si>
    <t>single</t>
  </si>
  <si>
    <t>Number of pkg per Rank</t>
  </si>
  <si>
    <r>
      <t>I</t>
    </r>
    <r>
      <rPr>
        <sz val="9"/>
        <rFont val="Arial"/>
        <family val="2"/>
      </rPr>
      <t>DD</t>
    </r>
    <r>
      <rPr>
        <sz val="11"/>
        <rFont val="Arial"/>
        <family val="2"/>
      </rPr>
      <t>5R</t>
    </r>
  </si>
  <si>
    <r>
      <t>I</t>
    </r>
    <r>
      <rPr>
        <sz val="9"/>
        <rFont val="Arial"/>
        <family val="2"/>
      </rPr>
      <t>PP</t>
    </r>
    <r>
      <rPr>
        <sz val="11"/>
        <rFont val="Arial"/>
        <family val="2"/>
      </rPr>
      <t>5R</t>
    </r>
  </si>
  <si>
    <r>
      <t>I</t>
    </r>
    <r>
      <rPr>
        <sz val="9"/>
        <rFont val="Arial"/>
        <family val="2"/>
      </rPr>
      <t>PP</t>
    </r>
    <r>
      <rPr>
        <sz val="11"/>
        <rFont val="Arial"/>
        <family val="2"/>
      </rPr>
      <t>5B</t>
    </r>
  </si>
  <si>
    <t>Refresh power</t>
  </si>
  <si>
    <r>
      <t>Power is calculated after after scaling for V</t>
    </r>
    <r>
      <rPr>
        <sz val="9"/>
        <rFont val="Arial"/>
        <family val="2"/>
      </rPr>
      <t>DD</t>
    </r>
    <r>
      <rPr>
        <sz val="11"/>
        <rFont val="Arial"/>
        <family val="2"/>
      </rPr>
      <t>.  Next, some powers are scaled for frequency effects to derate from test condition to use condition.  Finally, these numbers are scaled for actual system usage. All parameters are calculated and require no user input. See TN-40-07 for detailed explanations and formulas for each of these parameters</t>
    </r>
  </si>
  <si>
    <r>
      <t>V</t>
    </r>
    <r>
      <rPr>
        <sz val="8"/>
        <rFont val="Arial"/>
        <family val="2"/>
      </rPr>
      <t>DD,max</t>
    </r>
  </si>
  <si>
    <r>
      <t>V</t>
    </r>
    <r>
      <rPr>
        <sz val="8"/>
        <rFont val="Arial"/>
        <family val="2"/>
      </rPr>
      <t>DD,min</t>
    </r>
  </si>
  <si>
    <r>
      <t>V</t>
    </r>
    <r>
      <rPr>
        <sz val="9"/>
        <rFont val="Arial"/>
        <family val="2"/>
      </rPr>
      <t>PP</t>
    </r>
    <r>
      <rPr>
        <sz val="8"/>
        <rFont val="Arial"/>
        <family val="2"/>
      </rPr>
      <t>,max</t>
    </r>
  </si>
  <si>
    <r>
      <t>V</t>
    </r>
    <r>
      <rPr>
        <sz val="9"/>
        <rFont val="Arial"/>
        <family val="2"/>
      </rPr>
      <t>PP</t>
    </r>
    <r>
      <rPr>
        <sz val="8"/>
        <rFont val="Arial"/>
        <family val="2"/>
      </rPr>
      <t>,min</t>
    </r>
  </si>
  <si>
    <t>IDD5R/IPP5R</t>
  </si>
  <si>
    <t>IDD5B/IPP5B</t>
  </si>
  <si>
    <t>Maximum VDD</t>
  </si>
  <si>
    <t>Minimum VDD</t>
  </si>
  <si>
    <t>Use IPP3N for either IPP4R or IPP4W if they don’t exist: if IPP4R or IPP4W is less than IPP3N then use IPP3N</t>
  </si>
  <si>
    <r>
      <t>I</t>
    </r>
    <r>
      <rPr>
        <sz val="9"/>
        <rFont val="Arial"/>
        <family val="2"/>
      </rPr>
      <t>PP3N</t>
    </r>
  </si>
  <si>
    <t>Module Type</t>
  </si>
  <si>
    <t>Rank Quantity</t>
  </si>
  <si>
    <t>RDIMM</t>
  </si>
  <si>
    <t>UDIMM</t>
  </si>
  <si>
    <t>SODIMM</t>
  </si>
  <si>
    <t>LRDIMM</t>
  </si>
  <si>
    <t>DDR4 Config</t>
  </si>
  <si>
    <t>DIMM</t>
  </si>
  <si>
    <t>Ranks</t>
  </si>
  <si>
    <t>DIMM Power (W)</t>
  </si>
  <si>
    <t>Die Config</t>
  </si>
  <si>
    <t>Die Density</t>
  </si>
  <si>
    <t>Packages per rank</t>
  </si>
  <si>
    <t>Module Density (GB)</t>
  </si>
  <si>
    <t>Non-DRAM Component Power</t>
  </si>
  <si>
    <t>Non-ECC Packages per rank</t>
  </si>
  <si>
    <t>ECC Packages per rank</t>
  </si>
  <si>
    <t xml:space="preserve">ECC </t>
  </si>
  <si>
    <t>yes</t>
  </si>
  <si>
    <t>no</t>
  </si>
  <si>
    <t>DIMM Power Calculation</t>
  </si>
  <si>
    <t>Package Config</t>
  </si>
  <si>
    <t>Package Density (Gb)</t>
  </si>
  <si>
    <t>From "Summary" Tab</t>
  </si>
  <si>
    <t>DIMM Type</t>
  </si>
  <si>
    <t>Device Power (mW)</t>
  </si>
  <si>
    <t>Power standby</t>
  </si>
  <si>
    <t>Power Terminate</t>
  </si>
  <si>
    <t>Total Active Power</t>
  </si>
  <si>
    <r>
      <t>I</t>
    </r>
    <r>
      <rPr>
        <sz val="9"/>
        <rFont val="Arial"/>
        <family val="2"/>
      </rPr>
      <t>DD</t>
    </r>
    <r>
      <rPr>
        <sz val="11"/>
        <rFont val="Arial"/>
        <family val="2"/>
      </rPr>
      <t>3N_1BNK</t>
    </r>
  </si>
  <si>
    <t>Average DIMM Power (W)</t>
  </si>
  <si>
    <t>Maximum active standby current with one bank open (Calculated)</t>
  </si>
  <si>
    <t>System tRC</t>
  </si>
  <si>
    <t>The percentage of clock cycles which are outputting read data from the DRAM (per RANK)</t>
  </si>
  <si>
    <t>The percentage of clock cycles which are inputting write data to the DRAM (per RANK)</t>
  </si>
  <si>
    <t>Needed to derate ACT power (calculated from JEDEC IDD0/3N/2N patterns which use spec min tRC)</t>
  </si>
  <si>
    <t>Actual system tRC</t>
  </si>
  <si>
    <t>IDD5R</t>
  </si>
  <si>
    <t>IPP5R</t>
  </si>
  <si>
    <t>Maximum burst refresh current (calculated from IDD5R</t>
  </si>
  <si>
    <t>Maximum distributed refresh current</t>
  </si>
  <si>
    <t>Maximum distributed refresh Ipp current</t>
  </si>
  <si>
    <t>Maximum burst refresh Ipp current (calculated from IDD5R)</t>
  </si>
  <si>
    <t>Spec minimum activate-to-activate timing (same bank)</t>
  </si>
  <si>
    <t>Spec minimum refresh-to-refresh cycle time</t>
  </si>
  <si>
    <t>Maximum distriuted refresh current</t>
  </si>
  <si>
    <t>DQ output driver power when driving data bus during READ</t>
  </si>
  <si>
    <t>RD Data % low</t>
  </si>
  <si>
    <t>Percentage of bits to toggle low each Read strobe edge</t>
  </si>
  <si>
    <t>WR Data % low</t>
  </si>
  <si>
    <t>Percentage of bits to toggle low each Write strobe edge</t>
  </si>
  <si>
    <t>Adjust accordingly; suggest using 50%</t>
  </si>
  <si>
    <t>Package</t>
  </si>
  <si>
    <t>Package Type</t>
  </si>
  <si>
    <t>Config</t>
  </si>
  <si>
    <t>Package (only used for "Module Calc" tab)</t>
  </si>
  <si>
    <t>DDP2R</t>
  </si>
  <si>
    <t>Total # Ranks</t>
  </si>
  <si>
    <r>
      <rPr>
        <b/>
        <i/>
        <sz val="10"/>
        <rFont val="Arial"/>
        <family val="2"/>
      </rPr>
      <t>Important</t>
    </r>
    <r>
      <rPr>
        <i/>
        <sz val="10"/>
        <rFont val="Arial"/>
        <family val="2"/>
      </rPr>
      <t xml:space="preserve"> - Make sure the "System Config" tab usage conditions are configured correctly for your DIMM</t>
    </r>
  </si>
  <si>
    <t>User-Defined</t>
  </si>
  <si>
    <t>Enter User Defined Usage conditions -&gt;</t>
  </si>
  <si>
    <t>User Defined Usage Conditions</t>
  </si>
  <si>
    <t>-</t>
  </si>
  <si>
    <t>This time is calculated from page hit rate read/write bus utilization. No entry is necessary.</t>
  </si>
  <si>
    <t>CLK default can be written over, Spare formula -&gt;</t>
  </si>
  <si>
    <t>&lt;- Pulled from DIMM usage conditions table to the left</t>
  </si>
  <si>
    <t>Google Stress 2RX4/2Rx8 RDIMM</t>
  </si>
  <si>
    <t>Google Stress 1Rx4/1Rx8 RDIMM</t>
  </si>
  <si>
    <t>Google Stress 1RX16 UDIMM/SODIMM</t>
  </si>
  <si>
    <t>The percentage of time that all banks on the DRAM are in a precharged state (per RANK)</t>
  </si>
  <si>
    <t>For x16, use equivalent speed grade noted in DDR4 Spec page.</t>
  </si>
  <si>
    <r>
      <t>Enter I</t>
    </r>
    <r>
      <rPr>
        <b/>
        <sz val="8"/>
        <rFont val="Arial"/>
        <family val="2"/>
      </rPr>
      <t>DD</t>
    </r>
    <r>
      <rPr>
        <b/>
        <sz val="10"/>
        <rFont val="Arial"/>
        <family val="2"/>
      </rPr>
      <t xml:space="preserve"> values for the speed grade under investigation in rows 13-51. If a specific configuration is not desired, the IDD values can be left blank.</t>
    </r>
  </si>
  <si>
    <t>DDR4 Config tab (ALL MUST BE ENTERED TO IDENTIFY DRAM TO BE USED FOR POWER CALCULATION)</t>
  </si>
  <si>
    <t>Row 8 selects the number of DQ's</t>
  </si>
  <si>
    <t>Row 9 selects the starting speed grade</t>
  </si>
  <si>
    <t>Row 10 selects whether DBI Mode is enabled or not</t>
  </si>
  <si>
    <t>Row 11 selects the package type. Note - this is ONLY required if module power calculation is desired, which is why DDP1R (x16) is not listed. Otherwise, this cell is a don’t-care.</t>
  </si>
  <si>
    <t>Row 17 (BNK_PRE%) is the time when all banks are in a precharged state. This is the amount of time when no bank has been activated.</t>
  </si>
  <si>
    <r>
      <t>Row 18 (CKE_LO_PRE%)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2N.</t>
    </r>
  </si>
  <si>
    <r>
      <t>Row 19 (CKE_LO_ACT%)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</si>
  <si>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t>Row 20 (PH%) is the page hit rate. 0% means there are no page hits (i.e., one read/write per each activate).</t>
  </si>
  <si>
    <r>
      <t xml:space="preserve">Row 21 (RDsch%) is the percentage of clocks that data is read from the DRAM. This would be equal to the average read bandwidth divided by peak read bandwidth. </t>
    </r>
    <r>
      <rPr>
        <b/>
        <sz val="10"/>
        <color rgb="FFFF0000"/>
        <rFont val="Arial"/>
        <family val="2"/>
      </rPr>
      <t>This parameter must be defined PER-RANK.</t>
    </r>
  </si>
  <si>
    <r>
      <t xml:space="preserve">Row 23 (WRsch%) is the percentage of clocks that data is written to the DRAM. This would be equal to the average read bandwidth divided by peak read bandwidth.  </t>
    </r>
    <r>
      <rPr>
        <b/>
        <sz val="10"/>
        <color rgb="FFFF0000"/>
        <rFont val="Arial"/>
        <family val="2"/>
      </rPr>
      <t>This parameter must be defined PER-RANK.</t>
    </r>
  </si>
  <si>
    <t>Row 22 (RD Data %low) is the percentage of bits to toggle low each Read strobe edge. This is used to adjust I/O power accordingly.</t>
  </si>
  <si>
    <t>Row 24 (WR Data %low) is the percentage of bits to toggle low each Write strobe edge. This is used to adjust I/O power accordingly.</t>
  </si>
  <si>
    <t>Row 25 (termRDsch%) is the percentage of clock cycles the DRAM under investigation is terminating read data from another device. It does not include time when a different DRAM on the bus may be terminating data.</t>
  </si>
  <si>
    <t>Row 26 (termWRsch%) is the percentage of clock cycles the DRAM under investigation is terminating write data from another device. It does not include time when a different DRAM on the bus may be terminating data.</t>
  </si>
  <si>
    <t>Row 27 (Actual System tRC) is the tRC used by the system. This is needed because ACT+PRE power is calculated based on spec min tRC (IDD0), and if the system is using a longer tRC then derating this ACT+PRE power over the actual tRC window is required.</t>
  </si>
  <si>
    <t>Row 28 (tRRDsch) is the average time between ACT commands to the DRAM.  Under IDD0 this would be equal to tRC. If the DRAM is in interleaving bursts, it may be less than tRC. This value is now calculated off of page hit rate. Entering a number here will override the automatic calculation.</t>
  </si>
  <si>
    <r>
      <t xml:space="preserve"> </t>
    </r>
    <r>
      <rPr>
        <b/>
        <i/>
        <sz val="10"/>
        <color indexed="8"/>
        <rFont val="Arial"/>
        <family val="2"/>
      </rPr>
      <t xml:space="preserve">    </t>
    </r>
    <r>
      <rPr>
        <b/>
        <i/>
        <sz val="10"/>
        <color rgb="FFFF0000"/>
        <rFont val="Arial"/>
        <family val="2"/>
      </rPr>
      <t>*</t>
    </r>
    <r>
      <rPr>
        <b/>
        <i/>
        <sz val="10"/>
        <color indexed="8"/>
        <rFont val="Arial"/>
        <family val="2"/>
      </rPr>
      <t>These are system-dependent and must be calculated. The value may be approximated with a DC calculation (calculator provided) or more accurately determined using SPICE models.</t>
    </r>
  </si>
  <si>
    <t>Module Calc Tab</t>
  </si>
  <si>
    <r>
      <t xml:space="preserve">This tab will calculate DIMM power based on the "Summary" tab and user-inputs for DIMM configuration </t>
    </r>
    <r>
      <rPr>
        <b/>
        <sz val="10"/>
        <color rgb="FFFF0000"/>
        <rFont val="Arial"/>
        <family val="2"/>
      </rPr>
      <t>*</t>
    </r>
    <r>
      <rPr>
        <b/>
        <sz val="10"/>
        <rFont val="Arial"/>
        <family val="2"/>
      </rPr>
      <t>. User must select number of ranks, the DIMM type, and whether the DIMM has ECC (some UDIMM's/SODIMM's may or may not have ECC, while all RDIMMS/LRDIMMS do). If calculating a module using DDP components, make sure this is selected in "DDR4 Config", otherwise the calculation will be incorrect.</t>
    </r>
  </si>
  <si>
    <t>* Note that not all DIMM configurations will be valid, and an warning message for invalid combinations may not be given. It is up to the user to make sure that these options are selected correctly for the DIMM they are interested in.</t>
  </si>
  <si>
    <t>If any MR options such as Additive latency, ODT, CA Latency, CA Parity, DBI, CRC, or Fine granularity refresh (FGRM) are desired, adjust the DDR4 Spec accordingly per the %derating values defined in the component data sheet IDD tables.</t>
  </si>
  <si>
    <t>Inputs are required for all densities and speed grades that may be chosen. Densities/speed grades that are not desired may be left blank.</t>
  </si>
  <si>
    <t xml:space="preserve">This calculator does not apply for 3DS DDR4 devices.  </t>
  </si>
  <si>
    <t>Google Stress 1Rx4/1Rx8 RDIMM/UDIMM/SODIMM</t>
  </si>
  <si>
    <t>DRAM Package Density</t>
  </si>
  <si>
    <t>On right side of page, input drivers' Zo, RTTs, and series resistors (module) values in dark green shaded areas. Default populated values are typical.</t>
  </si>
  <si>
    <t>For Rows 17-27, the user must select either a pre-defined set of values OR a "user defined" option from the drop-down menu. If the "user-defined" option is selected, the user must populate column J with values. The google stress values defined are for 1DPC loading only.</t>
  </si>
  <si>
    <t>Google Stress 2Rx4/2Rx8 RDIMM/UDIMM/SODIMM</t>
  </si>
  <si>
    <t>Google Stress 1Rx16 UDIMM/SODIMM</t>
  </si>
  <si>
    <r>
      <t xml:space="preserve">Select DIMM usage conditions or user-defined conditions from drop-down box below.            </t>
    </r>
    <r>
      <rPr>
        <b/>
        <sz val="10"/>
        <color rgb="FFFF0000"/>
        <rFont val="Arial"/>
        <family val="2"/>
      </rPr>
      <t>GS conditions are for 1DPC only</t>
    </r>
  </si>
  <si>
    <t>Document ID</t>
  </si>
  <si>
    <t>CCM005-1406124318-10456</t>
  </si>
  <si>
    <r>
      <t>Timing restrictions in rows 53-65 are entered from the data sheet. These determine the test conditions for the I</t>
    </r>
    <r>
      <rPr>
        <b/>
        <sz val="8"/>
        <rFont val="Arial"/>
        <family val="2"/>
      </rPr>
      <t>DD</t>
    </r>
    <r>
      <rPr>
        <b/>
        <sz val="10"/>
        <rFont val="Arial"/>
        <family val="2"/>
      </rPr>
      <t xml:space="preserve"> values and restrictions of normal device operation.</t>
    </r>
  </si>
  <si>
    <t>This spreadsheet is for estimating purposes only and does not estimate power for every mode of operation described in the data sheet.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</si>
  <si>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</si>
  <si>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t>Copyright © 2019 Micron Technology, Inc.</t>
  </si>
  <si>
    <t>Google Stress 4Rx4 (DDP2R) LRDIMM</t>
  </si>
  <si>
    <t>Total Module Rank Quantity</t>
  </si>
  <si>
    <t>trace</t>
  </si>
  <si>
    <t>slow_timing</t>
  </si>
  <si>
    <t>read_bandwidth</t>
  </si>
  <si>
    <t>write_bandwidth</t>
  </si>
  <si>
    <t>DDR5_4800BN</t>
  </si>
  <si>
    <t>DDR5_5200BN</t>
  </si>
  <si>
    <t>DDR5_5600BN</t>
  </si>
  <si>
    <t>DDR5_6400BN</t>
  </si>
  <si>
    <t>row_hit_rate</t>
    <phoneticPr fontId="6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</si>
</sst>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_(* #,##0.00_);_(* \(#,##0.00\);_(* &quot;-&quot;??_);_(@_)"/>
    <numFmt numFmtId="177" formatCode="0.0"/>
    <numFmt numFmtId="178" formatCode="mmmm\ d\,\ yyyy"/>
    <numFmt numFmtId="179" formatCode="_(* #,##0.0_);_(* \(#,##0.0\);_(* &quot;-&quot;??_);_(@_)"/>
    <numFmt numFmtId="180" formatCode="_(* #,##0_);_(* \(#,##0\);_(* &quot;-&quot;??_);_(@_)"/>
    <numFmt numFmtId="181" formatCode="0.000"/>
    <numFmt numFmtId="182" formatCode="0.0%"/>
    <numFmt numFmtId="183" formatCode="0.000000"/>
  </numFmts>
  <fonts count="63">
    <font>
      <sz val="10"/>
      <name val="Arial"/>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sz val="12"/>
      <name val="Arial"/>
      <family val="2"/>
    </font>
    <font>
      <b/>
      <i/>
      <sz val="10"/>
      <color indexed="8"/>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
      <sz val="10"/>
      <color theme="0" tint="-0.499984740745262"/>
      <name val="Arial"/>
      <family val="2"/>
    </font>
    <font>
      <b/>
      <i/>
      <sz val="10"/>
      <name val="Arial"/>
      <family val="2"/>
    </font>
    <font>
      <b/>
      <i/>
      <sz val="10"/>
      <color rgb="FF002060"/>
      <name val="Arial"/>
      <family val="2"/>
    </font>
    <font>
      <b/>
      <sz val="10"/>
      <color theme="1"/>
      <name val="Arial"/>
      <family val="2"/>
    </font>
    <font>
      <sz val="10"/>
      <color theme="1"/>
      <name val="Arial"/>
      <family val="2"/>
    </font>
    <font>
      <sz val="12"/>
      <color theme="0"/>
      <name val="Arial"/>
      <family val="2"/>
    </font>
    <font>
      <b/>
      <sz val="9"/>
      <color theme="0"/>
      <name val="Arial"/>
      <family val="2"/>
    </font>
    <font>
      <sz val="10"/>
      <color rgb="FFFF0000"/>
      <name val="Arial"/>
      <family val="2"/>
    </font>
    <font>
      <sz val="11"/>
      <color theme="0"/>
      <name val="Arial"/>
      <family val="2"/>
    </font>
    <font>
      <b/>
      <sz val="11"/>
      <color rgb="FFFF0000"/>
      <name val="Arial"/>
      <family val="2"/>
    </font>
    <font>
      <b/>
      <i/>
      <u/>
      <sz val="10"/>
      <name val="Arial"/>
      <family val="2"/>
    </font>
    <font>
      <b/>
      <i/>
      <u/>
      <sz val="12"/>
      <name val="Arial"/>
      <family val="2"/>
    </font>
    <font>
      <sz val="10"/>
      <name val="Frutiger 55 Roman"/>
    </font>
    <font>
      <i/>
      <sz val="10"/>
      <name val="Arial"/>
      <family val="2"/>
    </font>
    <font>
      <b/>
      <i/>
      <sz val="10"/>
      <color rgb="FFFF0000"/>
      <name val="Arial"/>
      <family val="2"/>
    </font>
    <font>
      <sz val="9"/>
      <name val="DengXian"/>
      <family val="3"/>
      <charset val="134"/>
    </font>
  </fonts>
  <fills count="35">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FFF00"/>
        <bgColor indexed="64"/>
      </patternFill>
    </fill>
    <fill>
      <patternFill patternType="solid">
        <fgColor theme="6" tint="0.59999389629810485"/>
        <bgColor indexed="64"/>
      </patternFill>
    </fill>
    <fill>
      <patternFill patternType="solid">
        <fgColor theme="6" tint="-0.249977111117893"/>
        <bgColor indexed="64"/>
      </patternFill>
    </fill>
    <fill>
      <patternFill patternType="solid">
        <fgColor rgb="FFE1FFE1"/>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theme="0"/>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rgb="FF92D050"/>
        <bgColor indexed="64"/>
      </patternFill>
    </fill>
  </fills>
  <borders count="63">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s>
  <cellStyleXfs count="3">
    <xf numFmtId="0" fontId="0" fillId="0" borderId="0"/>
    <xf numFmtId="176" fontId="4" fillId="0" borderId="0" applyFont="0" applyFill="0" applyBorder="0" applyAlignment="0" applyProtection="0"/>
    <xf numFmtId="9" fontId="4" fillId="0" borderId="0" applyFont="0" applyFill="0" applyBorder="0" applyAlignment="0" applyProtection="0"/>
  </cellStyleXfs>
  <cellXfs count="545">
    <xf numFmtId="0" fontId="0" fillId="0" borderId="0" xfId="0"/>
    <xf numFmtId="0" fontId="0" fillId="0" borderId="0" xfId="0" quotePrefix="1"/>
    <xf numFmtId="0" fontId="0" fillId="0" borderId="0" xfId="0" applyAlignment="1">
      <alignment vertical="top"/>
    </xf>
    <xf numFmtId="0" fontId="5" fillId="0" borderId="0" xfId="0" applyFont="1"/>
    <xf numFmtId="0" fontId="7" fillId="0" borderId="0" xfId="0" applyFont="1" applyAlignment="1">
      <alignment horizontal="center" vertical="center" wrapText="1"/>
    </xf>
    <xf numFmtId="0" fontId="8" fillId="0" borderId="1" xfId="0" applyFont="1" applyBorder="1"/>
    <xf numFmtId="0" fontId="8" fillId="0" borderId="2" xfId="0" applyFont="1" applyBorder="1"/>
    <xf numFmtId="0" fontId="9" fillId="0" borderId="3" xfId="0" applyFont="1" applyBorder="1" applyAlignment="1">
      <alignment vertical="top"/>
    </xf>
    <xf numFmtId="0" fontId="9" fillId="0" borderId="4" xfId="0" applyFont="1" applyBorder="1" applyAlignment="1">
      <alignment vertical="top"/>
    </xf>
    <xf numFmtId="0" fontId="8" fillId="0" borderId="5" xfId="0" applyFont="1" applyBorder="1" applyAlignment="1">
      <alignment vertical="top" wrapText="1"/>
    </xf>
    <xf numFmtId="0" fontId="9" fillId="0" borderId="6" xfId="0" applyFont="1" applyBorder="1" applyAlignment="1">
      <alignment vertical="top"/>
    </xf>
    <xf numFmtId="0" fontId="9" fillId="0" borderId="0" xfId="0" applyFont="1" applyAlignment="1">
      <alignment vertical="top"/>
    </xf>
    <xf numFmtId="178" fontId="8" fillId="0" borderId="7" xfId="0" applyNumberFormat="1" applyFont="1" applyBorder="1" applyAlignment="1">
      <alignment horizontal="left" vertical="top" wrapText="1"/>
    </xf>
    <xf numFmtId="0" fontId="8" fillId="0" borderId="7" xfId="0" applyFont="1" applyBorder="1" applyAlignment="1">
      <alignment vertical="top" wrapText="1"/>
    </xf>
    <xf numFmtId="0" fontId="9" fillId="0" borderId="8" xfId="0" applyFont="1" applyBorder="1" applyAlignment="1">
      <alignment vertical="top"/>
    </xf>
    <xf numFmtId="0" fontId="8" fillId="0" borderId="9" xfId="0" applyFont="1" applyBorder="1" applyAlignment="1">
      <alignment vertical="top" wrapText="1"/>
    </xf>
    <xf numFmtId="0" fontId="8" fillId="0" borderId="0" xfId="0" applyFont="1"/>
    <xf numFmtId="0" fontId="8" fillId="0" borderId="0" xfId="0" quotePrefix="1" applyFont="1" applyAlignment="1">
      <alignment horizontal="center"/>
    </xf>
    <xf numFmtId="0" fontId="9" fillId="0" borderId="10" xfId="0" applyFont="1" applyBorder="1" applyAlignment="1">
      <alignment vertical="top"/>
    </xf>
    <xf numFmtId="0" fontId="5" fillId="0" borderId="0" xfId="0" applyFont="1" applyAlignment="1">
      <alignment horizontal="left" vertical="top" wrapText="1"/>
    </xf>
    <xf numFmtId="0" fontId="11" fillId="0" borderId="0" xfId="0" applyFont="1"/>
    <xf numFmtId="0" fontId="5" fillId="0" borderId="0" xfId="0" applyFont="1" applyAlignment="1">
      <alignment wrapText="1"/>
    </xf>
    <xf numFmtId="0" fontId="14" fillId="0" borderId="0" xfId="0" applyFont="1"/>
    <xf numFmtId="0" fontId="14" fillId="0" borderId="0" xfId="0" applyFont="1" applyAlignment="1">
      <alignment vertical="top"/>
    </xf>
    <xf numFmtId="0" fontId="9" fillId="0" borderId="0" xfId="0" applyFont="1" applyAlignment="1">
      <alignment horizontal="center" vertical="top"/>
    </xf>
    <xf numFmtId="0" fontId="0" fillId="0" borderId="12" xfId="0" applyBorder="1"/>
    <xf numFmtId="0" fontId="0" fillId="0" borderId="0" xfId="0" applyAlignment="1">
      <alignment vertical="top" wrapText="1"/>
    </xf>
    <xf numFmtId="0" fontId="0" fillId="0" borderId="0" xfId="0" applyAlignment="1">
      <alignment horizontal="center"/>
    </xf>
    <xf numFmtId="0" fontId="10" fillId="2" borderId="12" xfId="0" quotePrefix="1" applyFont="1" applyFill="1" applyBorder="1" applyAlignment="1">
      <alignment horizontal="right"/>
    </xf>
    <xf numFmtId="0" fontId="10" fillId="2" borderId="13" xfId="0" applyFont="1" applyFill="1" applyBorder="1" applyAlignment="1">
      <alignment horizontal="right"/>
    </xf>
    <xf numFmtId="0" fontId="19" fillId="0" borderId="0" xfId="0" applyFont="1"/>
    <xf numFmtId="0" fontId="20"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8" fillId="0" borderId="12" xfId="0" applyFont="1" applyBorder="1" applyAlignment="1">
      <alignment horizontal="center" vertical="center"/>
    </xf>
    <xf numFmtId="0" fontId="16" fillId="0" borderId="0" xfId="0" applyFont="1" applyAlignment="1">
      <alignment vertical="center"/>
    </xf>
    <xf numFmtId="0" fontId="15" fillId="0" borderId="0" xfId="0" applyFont="1" applyAlignment="1">
      <alignment vertical="center"/>
    </xf>
    <xf numFmtId="0" fontId="15" fillId="0" borderId="0" xfId="0" applyFont="1" applyAlignment="1">
      <alignment vertical="center" wrapText="1"/>
    </xf>
    <xf numFmtId="0" fontId="15" fillId="0" borderId="0" xfId="0" applyFont="1" applyAlignment="1">
      <alignment horizontal="center" vertical="center"/>
    </xf>
    <xf numFmtId="0" fontId="5" fillId="0" borderId="0" xfId="0" applyFont="1" applyAlignment="1">
      <alignment vertical="center"/>
    </xf>
    <xf numFmtId="177" fontId="0" fillId="0" borderId="0" xfId="0" applyNumberFormat="1"/>
    <xf numFmtId="179" fontId="0" fillId="0" borderId="0" xfId="1" applyNumberFormat="1" applyFont="1" applyBorder="1"/>
    <xf numFmtId="180" fontId="0" fillId="0" borderId="0" xfId="1" applyNumberFormat="1" applyFont="1" applyBorder="1"/>
    <xf numFmtId="0" fontId="0" fillId="0" borderId="0" xfId="1" applyNumberFormat="1" applyFont="1" applyBorder="1"/>
    <xf numFmtId="0" fontId="23" fillId="0" borderId="0" xfId="0" applyFont="1"/>
    <xf numFmtId="0" fontId="25" fillId="0" borderId="0" xfId="0" applyFont="1" applyAlignment="1">
      <alignment vertical="center"/>
    </xf>
    <xf numFmtId="0" fontId="7" fillId="0" borderId="15" xfId="0" applyFont="1" applyBorder="1" applyAlignment="1">
      <alignment vertical="center"/>
    </xf>
    <xf numFmtId="0" fontId="7" fillId="0" borderId="12" xfId="0" applyFont="1" applyBorder="1" applyAlignment="1">
      <alignment vertical="center"/>
    </xf>
    <xf numFmtId="0" fontId="26" fillId="0" borderId="15" xfId="0" applyFont="1" applyBorder="1" applyAlignment="1">
      <alignment vertical="center"/>
    </xf>
    <xf numFmtId="0" fontId="26" fillId="0" borderId="12" xfId="0" applyFont="1" applyBorder="1" applyAlignment="1">
      <alignment vertical="center"/>
    </xf>
    <xf numFmtId="0" fontId="7" fillId="0" borderId="0" xfId="0" applyFont="1" applyAlignment="1">
      <alignment horizontal="center" vertical="center"/>
    </xf>
    <xf numFmtId="0" fontId="30" fillId="0" borderId="12" xfId="0" applyFont="1" applyBorder="1" applyAlignment="1">
      <alignment vertical="center"/>
    </xf>
    <xf numFmtId="0" fontId="7" fillId="0" borderId="0" xfId="0" applyFont="1" applyAlignment="1">
      <alignment vertical="center"/>
    </xf>
    <xf numFmtId="0" fontId="7" fillId="0" borderId="0" xfId="0" applyFont="1" applyAlignment="1">
      <alignment vertical="center" wrapText="1"/>
    </xf>
    <xf numFmtId="0" fontId="5" fillId="3" borderId="16" xfId="0" applyFont="1" applyFill="1" applyBorder="1" applyAlignment="1">
      <alignment vertical="center"/>
    </xf>
    <xf numFmtId="0" fontId="5" fillId="3" borderId="13" xfId="0" applyFont="1" applyFill="1" applyBorder="1" applyAlignment="1">
      <alignment vertical="center"/>
    </xf>
    <xf numFmtId="0" fontId="30" fillId="0" borderId="15"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27" fillId="4" borderId="12" xfId="0" applyFont="1" applyFill="1" applyBorder="1" applyAlignment="1">
      <alignment vertical="center"/>
    </xf>
    <xf numFmtId="0" fontId="27" fillId="4" borderId="12" xfId="0" applyFont="1" applyFill="1" applyBorder="1" applyAlignment="1">
      <alignment vertical="center" wrapText="1"/>
    </xf>
    <xf numFmtId="0" fontId="27" fillId="4" borderId="12" xfId="0" quotePrefix="1" applyFont="1" applyFill="1" applyBorder="1" applyAlignment="1">
      <alignment horizontal="center" vertical="center"/>
    </xf>
    <xf numFmtId="0" fontId="27" fillId="0" borderId="0" xfId="0" applyFont="1" applyAlignment="1">
      <alignment horizontal="center" vertical="center"/>
    </xf>
    <xf numFmtId="0" fontId="26" fillId="0" borderId="0" xfId="0" applyFont="1" applyAlignment="1">
      <alignment horizontal="center" vertical="center"/>
    </xf>
    <xf numFmtId="0" fontId="26" fillId="6" borderId="12" xfId="0" applyFont="1" applyFill="1" applyBorder="1" applyAlignment="1">
      <alignment vertical="center"/>
    </xf>
    <xf numFmtId="0" fontId="27" fillId="5" borderId="12" xfId="0" applyFont="1" applyFill="1" applyBorder="1" applyAlignment="1">
      <alignment horizontal="center" vertical="center"/>
    </xf>
    <xf numFmtId="0" fontId="28" fillId="0" borderId="0" xfId="0" applyFont="1" applyAlignment="1">
      <alignment horizontal="center" vertical="center"/>
    </xf>
    <xf numFmtId="0" fontId="27" fillId="0" borderId="12" xfId="0" applyFont="1" applyBorder="1" applyAlignment="1">
      <alignment horizontal="center" vertical="center"/>
    </xf>
    <xf numFmtId="0" fontId="28" fillId="0" borderId="12" xfId="0" applyFont="1" applyBorder="1" applyAlignment="1">
      <alignment horizontal="center" vertical="center"/>
    </xf>
    <xf numFmtId="0" fontId="31" fillId="0" borderId="12" xfId="0" applyFont="1" applyBorder="1" applyAlignment="1">
      <alignment vertical="center"/>
    </xf>
    <xf numFmtId="0" fontId="26" fillId="0" borderId="16" xfId="0" applyFont="1" applyBorder="1"/>
    <xf numFmtId="0" fontId="26" fillId="0" borderId="15" xfId="0" applyFont="1" applyBorder="1"/>
    <xf numFmtId="0" fontId="27" fillId="4" borderId="16" xfId="0" applyFont="1" applyFill="1" applyBorder="1" applyAlignment="1">
      <alignment vertical="center"/>
    </xf>
    <xf numFmtId="0" fontId="27" fillId="4" borderId="13" xfId="0" applyFont="1" applyFill="1" applyBorder="1" applyAlignment="1">
      <alignment vertical="center"/>
    </xf>
    <xf numFmtId="0" fontId="27" fillId="4" borderId="13" xfId="0" applyFont="1" applyFill="1" applyBorder="1" applyAlignment="1">
      <alignment horizontal="center" vertical="center"/>
    </xf>
    <xf numFmtId="0" fontId="27" fillId="4" borderId="1" xfId="0" applyFont="1" applyFill="1" applyBorder="1" applyAlignment="1">
      <alignment vertical="center"/>
    </xf>
    <xf numFmtId="0" fontId="32" fillId="0" borderId="12" xfId="0" quotePrefix="1" applyFont="1" applyBorder="1" applyAlignment="1">
      <alignment horizontal="center" vertical="center"/>
    </xf>
    <xf numFmtId="0" fontId="32" fillId="0" borderId="12" xfId="0" applyFont="1" applyBorder="1" applyAlignment="1">
      <alignment horizontal="center" vertical="center"/>
    </xf>
    <xf numFmtId="0" fontId="31" fillId="0" borderId="15" xfId="0" applyFont="1" applyBorder="1" applyAlignment="1">
      <alignment vertical="center"/>
    </xf>
    <xf numFmtId="0" fontId="31" fillId="0" borderId="17" xfId="0" applyFont="1" applyBorder="1" applyAlignment="1">
      <alignment vertical="center"/>
    </xf>
    <xf numFmtId="0" fontId="26" fillId="0" borderId="18" xfId="0" applyFont="1" applyBorder="1" applyAlignment="1">
      <alignment vertical="center"/>
    </xf>
    <xf numFmtId="0" fontId="32" fillId="0" borderId="18" xfId="0" quotePrefix="1" applyFont="1" applyBorder="1" applyAlignment="1">
      <alignment horizontal="center" vertical="center"/>
    </xf>
    <xf numFmtId="0" fontId="26" fillId="0" borderId="2" xfId="0" applyFont="1" applyBorder="1" applyAlignment="1">
      <alignment horizontal="center" vertical="center"/>
    </xf>
    <xf numFmtId="0" fontId="26" fillId="0" borderId="19" xfId="0" applyFont="1" applyBorder="1" applyAlignment="1">
      <alignment horizontal="center" vertical="center"/>
    </xf>
    <xf numFmtId="0" fontId="33" fillId="0" borderId="1" xfId="0" applyFont="1" applyBorder="1" applyAlignment="1">
      <alignment vertical="top"/>
    </xf>
    <xf numFmtId="0" fontId="26" fillId="0" borderId="0" xfId="0" applyFont="1" applyAlignment="1">
      <alignment vertical="top" wrapText="1"/>
    </xf>
    <xf numFmtId="0" fontId="26" fillId="0" borderId="15" xfId="0" applyFont="1" applyBorder="1" applyAlignment="1">
      <alignment vertical="top" wrapText="1"/>
    </xf>
    <xf numFmtId="0" fontId="26" fillId="0" borderId="12" xfId="0" applyFont="1" applyBorder="1" applyAlignment="1">
      <alignment horizontal="center" vertical="top"/>
    </xf>
    <xf numFmtId="0" fontId="33" fillId="0" borderId="2" xfId="0" applyFont="1" applyBorder="1" applyAlignment="1">
      <alignment vertical="top"/>
    </xf>
    <xf numFmtId="0" fontId="32" fillId="0" borderId="2" xfId="0" applyFont="1" applyBorder="1" applyAlignment="1">
      <alignment vertical="top"/>
    </xf>
    <xf numFmtId="0" fontId="26" fillId="0" borderId="2" xfId="0" applyFont="1" applyBorder="1" applyAlignment="1">
      <alignment vertical="top" wrapText="1"/>
    </xf>
    <xf numFmtId="0" fontId="26" fillId="0" borderId="2" xfId="0" applyFont="1" applyBorder="1" applyAlignment="1">
      <alignment vertical="top"/>
    </xf>
    <xf numFmtId="0" fontId="26" fillId="0" borderId="18" xfId="0" applyFont="1" applyBorder="1" applyAlignment="1">
      <alignment horizontal="center" vertical="top"/>
    </xf>
    <xf numFmtId="0" fontId="25" fillId="0" borderId="0" xfId="0" applyFont="1" applyAlignment="1">
      <alignment horizontal="center" vertical="top"/>
    </xf>
    <xf numFmtId="0" fontId="25" fillId="0" borderId="0" xfId="0" applyFont="1" applyAlignment="1">
      <alignment vertical="top" wrapText="1"/>
    </xf>
    <xf numFmtId="0" fontId="5" fillId="0" borderId="0" xfId="0" applyFont="1" applyAlignment="1">
      <alignment horizontal="center" vertical="center" wrapText="1"/>
    </xf>
    <xf numFmtId="177" fontId="5" fillId="0" borderId="0" xfId="0" applyNumberFormat="1" applyFont="1" applyAlignment="1">
      <alignment vertical="center"/>
    </xf>
    <xf numFmtId="177" fontId="17" fillId="4" borderId="25" xfId="0" applyNumberFormat="1" applyFont="1" applyFill="1" applyBorder="1" applyAlignment="1">
      <alignment vertical="center"/>
    </xf>
    <xf numFmtId="0" fontId="8" fillId="0" borderId="0" xfId="0" applyFont="1" applyAlignment="1">
      <alignment horizontal="center"/>
    </xf>
    <xf numFmtId="0" fontId="7" fillId="0" borderId="2" xfId="0" applyFont="1" applyBorder="1" applyAlignment="1">
      <alignment horizontal="center" vertical="center"/>
    </xf>
    <xf numFmtId="0" fontId="7" fillId="0" borderId="19" xfId="0" applyFont="1" applyBorder="1" applyAlignment="1">
      <alignment horizontal="center" vertical="center"/>
    </xf>
    <xf numFmtId="0" fontId="5" fillId="0" borderId="0" xfId="0" applyFont="1" applyAlignment="1">
      <alignment horizontal="center" vertical="center"/>
    </xf>
    <xf numFmtId="0" fontId="17" fillId="4" borderId="26" xfId="0" applyFont="1" applyFill="1" applyBorder="1" applyAlignment="1">
      <alignment horizontal="center" vertical="center"/>
    </xf>
    <xf numFmtId="0" fontId="0" fillId="0" borderId="0" xfId="0" applyAlignment="1">
      <alignment horizontal="centerContinuous" vertical="top" wrapText="1"/>
    </xf>
    <xf numFmtId="0" fontId="35" fillId="0" borderId="0" xfId="0" applyFont="1" applyAlignment="1">
      <alignment horizontal="centerContinuous" vertical="top" wrapText="1"/>
    </xf>
    <xf numFmtId="0" fontId="24" fillId="0" borderId="0" xfId="0" applyFont="1" applyAlignment="1">
      <alignment horizontal="centerContinuous"/>
    </xf>
    <xf numFmtId="0" fontId="26" fillId="0" borderId="0" xfId="0" applyFont="1" applyAlignment="1">
      <alignment horizontal="centerContinuous" wrapText="1"/>
    </xf>
    <xf numFmtId="0" fontId="24" fillId="0" borderId="0" xfId="0" applyFont="1" applyAlignment="1">
      <alignment horizontal="centerContinuous" wrapText="1"/>
    </xf>
    <xf numFmtId="0" fontId="37" fillId="0" borderId="0" xfId="0" applyFont="1" applyAlignment="1">
      <alignment horizontal="centerContinuous" vertical="top"/>
    </xf>
    <xf numFmtId="0" fontId="24" fillId="0" borderId="0" xfId="0" applyFont="1" applyAlignment="1">
      <alignment horizontal="centerContinuous" vertical="top"/>
    </xf>
    <xf numFmtId="0" fontId="21" fillId="0" borderId="0" xfId="0" applyFont="1" applyAlignment="1">
      <alignment horizontal="centerContinuous" vertical="top"/>
    </xf>
    <xf numFmtId="0" fontId="6" fillId="4" borderId="16" xfId="0" applyFont="1" applyFill="1" applyBorder="1" applyAlignment="1">
      <alignment horizontal="centerContinuous" vertical="center" wrapText="1"/>
    </xf>
    <xf numFmtId="0" fontId="6" fillId="4" borderId="13" xfId="0" applyFont="1" applyFill="1" applyBorder="1" applyAlignment="1">
      <alignment horizontal="centerContinuous" vertical="center" wrapText="1"/>
    </xf>
    <xf numFmtId="0" fontId="6" fillId="4" borderId="1" xfId="0" applyFont="1" applyFill="1" applyBorder="1" applyAlignment="1">
      <alignment horizontal="centerContinuous" vertical="center" wrapText="1"/>
    </xf>
    <xf numFmtId="0" fontId="0" fillId="0" borderId="0" xfId="0" applyAlignment="1">
      <alignment horizontal="center" wrapText="1"/>
    </xf>
    <xf numFmtId="0" fontId="0" fillId="0" borderId="0" xfId="0" quotePrefix="1" applyAlignment="1">
      <alignment horizontal="center" wrapText="1"/>
    </xf>
    <xf numFmtId="0" fontId="7" fillId="0" borderId="0" xfId="0" applyFont="1" applyAlignment="1">
      <alignment horizontal="center" wrapText="1"/>
    </xf>
    <xf numFmtId="0" fontId="5" fillId="0" borderId="0" xfId="0" applyFont="1" applyAlignment="1">
      <alignment vertical="top"/>
    </xf>
    <xf numFmtId="0" fontId="5" fillId="0" borderId="0" xfId="0" applyFont="1" applyAlignment="1">
      <alignment horizontal="left" vertical="center"/>
    </xf>
    <xf numFmtId="0" fontId="5" fillId="9" borderId="31" xfId="0" applyFont="1" applyFill="1" applyBorder="1" applyAlignment="1">
      <alignment horizontal="center" vertical="center" wrapText="1"/>
    </xf>
    <xf numFmtId="177" fontId="11" fillId="11" borderId="20" xfId="0" applyNumberFormat="1" applyFont="1" applyFill="1" applyBorder="1" applyAlignment="1">
      <alignment horizontal="center" vertical="center"/>
    </xf>
    <xf numFmtId="0" fontId="39" fillId="0" borderId="0" xfId="0" applyFont="1" applyAlignment="1">
      <alignment vertical="center"/>
    </xf>
    <xf numFmtId="0" fontId="11" fillId="0" borderId="0" xfId="0" applyFont="1" applyAlignment="1">
      <alignment vertical="center"/>
    </xf>
    <xf numFmtId="0" fontId="11" fillId="0" borderId="0" xfId="0" applyFont="1" applyAlignment="1">
      <alignment vertical="center" wrapText="1"/>
    </xf>
    <xf numFmtId="0" fontId="7" fillId="9" borderId="2" xfId="0" applyFont="1" applyFill="1" applyBorder="1" applyAlignment="1">
      <alignment horizontal="center" vertical="center"/>
    </xf>
    <xf numFmtId="0" fontId="7" fillId="9" borderId="19" xfId="0" applyFont="1" applyFill="1" applyBorder="1" applyAlignment="1">
      <alignment horizontal="center" vertical="center"/>
    </xf>
    <xf numFmtId="0" fontId="25" fillId="0" borderId="0" xfId="0" applyFont="1" applyAlignment="1">
      <alignment horizontal="right" vertical="center"/>
    </xf>
    <xf numFmtId="0" fontId="7" fillId="0" borderId="0" xfId="0" applyFont="1"/>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8" xfId="0" applyBorder="1"/>
    <xf numFmtId="0" fontId="0" fillId="0" borderId="10" xfId="0" applyBorder="1"/>
    <xf numFmtId="0" fontId="0" fillId="0" borderId="9" xfId="0" applyBorder="1"/>
    <xf numFmtId="0" fontId="28" fillId="7" borderId="34" xfId="0" applyFont="1" applyFill="1" applyBorder="1" applyAlignment="1">
      <alignment vertical="center"/>
    </xf>
    <xf numFmtId="177" fontId="27" fillId="7" borderId="35" xfId="0" applyNumberFormat="1" applyFont="1" applyFill="1" applyBorder="1" applyAlignment="1">
      <alignment vertical="center"/>
    </xf>
    <xf numFmtId="177" fontId="27" fillId="7" borderId="12" xfId="0" applyNumberFormat="1" applyFont="1" applyFill="1" applyBorder="1" applyAlignment="1">
      <alignment vertical="center"/>
    </xf>
    <xf numFmtId="0" fontId="27" fillId="7" borderId="2" xfId="0" applyFont="1" applyFill="1" applyBorder="1" applyAlignment="1">
      <alignment vertical="center"/>
    </xf>
    <xf numFmtId="0" fontId="45" fillId="13" borderId="36" xfId="0" applyFont="1" applyFill="1" applyBorder="1" applyAlignment="1">
      <alignment vertical="center"/>
    </xf>
    <xf numFmtId="0" fontId="45" fillId="13" borderId="37" xfId="0" applyFont="1" applyFill="1" applyBorder="1" applyAlignment="1">
      <alignment vertical="center"/>
    </xf>
    <xf numFmtId="177" fontId="45" fillId="13" borderId="18" xfId="0" applyNumberFormat="1" applyFont="1" applyFill="1" applyBorder="1" applyAlignment="1">
      <alignment vertical="center"/>
    </xf>
    <xf numFmtId="0" fontId="45" fillId="13" borderId="19" xfId="0" applyFont="1" applyFill="1" applyBorder="1" applyAlignment="1">
      <alignment vertical="center"/>
    </xf>
    <xf numFmtId="0" fontId="28" fillId="14" borderId="35" xfId="0" applyFont="1" applyFill="1" applyBorder="1" applyAlignment="1">
      <alignment vertical="center"/>
    </xf>
    <xf numFmtId="0" fontId="27" fillId="14" borderId="34" xfId="0" applyFont="1" applyFill="1" applyBorder="1" applyAlignment="1">
      <alignment vertical="center"/>
    </xf>
    <xf numFmtId="177" fontId="27" fillId="14" borderId="12" xfId="0" applyNumberFormat="1" applyFont="1" applyFill="1" applyBorder="1" applyAlignment="1">
      <alignment vertical="center"/>
    </xf>
    <xf numFmtId="0" fontId="27" fillId="14" borderId="2" xfId="0" applyFont="1" applyFill="1" applyBorder="1" applyAlignment="1">
      <alignment vertical="center"/>
    </xf>
    <xf numFmtId="0" fontId="26" fillId="15" borderId="35" xfId="0" applyFont="1" applyFill="1" applyBorder="1" applyAlignment="1">
      <alignment vertical="center"/>
    </xf>
    <xf numFmtId="0" fontId="25" fillId="15" borderId="34" xfId="0" applyFont="1" applyFill="1" applyBorder="1" applyAlignment="1">
      <alignment vertical="center"/>
    </xf>
    <xf numFmtId="177" fontId="25" fillId="15" borderId="12" xfId="0" applyNumberFormat="1" applyFont="1" applyFill="1" applyBorder="1" applyAlignment="1">
      <alignment vertical="center"/>
    </xf>
    <xf numFmtId="0" fontId="25" fillId="15" borderId="2" xfId="0" applyFont="1" applyFill="1" applyBorder="1" applyAlignment="1">
      <alignment vertical="center"/>
    </xf>
    <xf numFmtId="0" fontId="28" fillId="16" borderId="35" xfId="0" applyFont="1" applyFill="1" applyBorder="1" applyAlignment="1">
      <alignment vertical="center"/>
    </xf>
    <xf numFmtId="0" fontId="27" fillId="16" borderId="34" xfId="0" applyFont="1" applyFill="1" applyBorder="1" applyAlignment="1">
      <alignment vertical="center"/>
    </xf>
    <xf numFmtId="177" fontId="27" fillId="16" borderId="12" xfId="0" applyNumberFormat="1" applyFont="1" applyFill="1" applyBorder="1" applyAlignment="1">
      <alignment vertical="center"/>
    </xf>
    <xf numFmtId="0" fontId="27" fillId="16" borderId="2" xfId="0" applyFont="1" applyFill="1" applyBorder="1" applyAlignment="1">
      <alignment vertical="center"/>
    </xf>
    <xf numFmtId="0" fontId="26" fillId="17" borderId="38" xfId="0" applyFont="1" applyFill="1" applyBorder="1" applyAlignment="1">
      <alignment vertical="center"/>
    </xf>
    <xf numFmtId="0" fontId="26" fillId="17" borderId="39" xfId="0" applyFont="1" applyFill="1" applyBorder="1" applyAlignment="1">
      <alignment vertical="center"/>
    </xf>
    <xf numFmtId="177" fontId="26" fillId="17" borderId="13" xfId="0" applyNumberFormat="1" applyFont="1" applyFill="1" applyBorder="1" applyAlignment="1">
      <alignment vertical="center"/>
    </xf>
    <xf numFmtId="0" fontId="26" fillId="17" borderId="1" xfId="0" applyFont="1" applyFill="1" applyBorder="1" applyAlignment="1">
      <alignment vertical="center"/>
    </xf>
    <xf numFmtId="0" fontId="26" fillId="18" borderId="35" xfId="0" applyFont="1" applyFill="1" applyBorder="1" applyAlignment="1">
      <alignment vertical="center"/>
    </xf>
    <xf numFmtId="0" fontId="26" fillId="18" borderId="34" xfId="0" applyFont="1" applyFill="1" applyBorder="1" applyAlignment="1">
      <alignment vertical="center"/>
    </xf>
    <xf numFmtId="177" fontId="26" fillId="18" borderId="12" xfId="0" applyNumberFormat="1" applyFont="1" applyFill="1" applyBorder="1" applyAlignment="1">
      <alignment vertical="center"/>
    </xf>
    <xf numFmtId="0" fontId="26" fillId="18" borderId="2" xfId="0" applyFont="1" applyFill="1" applyBorder="1" applyAlignment="1">
      <alignment vertical="center"/>
    </xf>
    <xf numFmtId="0" fontId="26" fillId="19" borderId="35" xfId="0" applyFont="1" applyFill="1" applyBorder="1" applyAlignment="1">
      <alignment vertical="center"/>
    </xf>
    <xf numFmtId="0" fontId="26" fillId="19" borderId="34" xfId="0" applyFont="1" applyFill="1" applyBorder="1" applyAlignment="1">
      <alignment vertical="center"/>
    </xf>
    <xf numFmtId="177" fontId="26" fillId="19" borderId="12" xfId="0" applyNumberFormat="1" applyFont="1" applyFill="1" applyBorder="1" applyAlignment="1">
      <alignment vertical="center"/>
    </xf>
    <xf numFmtId="0" fontId="26" fillId="19" borderId="2" xfId="0" applyFont="1" applyFill="1" applyBorder="1" applyAlignment="1">
      <alignment vertical="center"/>
    </xf>
    <xf numFmtId="0" fontId="4" fillId="0" borderId="0" xfId="0" applyFont="1" applyAlignment="1">
      <alignment vertical="top"/>
    </xf>
    <xf numFmtId="0" fontId="5" fillId="0" borderId="0" xfId="0" applyFont="1" applyAlignment="1">
      <alignment horizontal="center" vertical="top"/>
    </xf>
    <xf numFmtId="0" fontId="5" fillId="0" borderId="0" xfId="0" applyFont="1" applyAlignment="1">
      <alignment vertical="top" wrapText="1"/>
    </xf>
    <xf numFmtId="0" fontId="5" fillId="0" borderId="3" xfId="0" applyFont="1" applyBorder="1" applyAlignment="1">
      <alignment vertical="top"/>
    </xf>
    <xf numFmtId="0" fontId="5" fillId="0" borderId="4" xfId="0" applyFont="1" applyBorder="1" applyAlignment="1">
      <alignment vertical="top"/>
    </xf>
    <xf numFmtId="0" fontId="5" fillId="0" borderId="5" xfId="0" applyFont="1" applyBorder="1" applyAlignment="1">
      <alignment vertical="top"/>
    </xf>
    <xf numFmtId="0" fontId="5" fillId="0" borderId="7" xfId="0" applyFont="1" applyBorder="1" applyAlignment="1">
      <alignment vertical="top"/>
    </xf>
    <xf numFmtId="0" fontId="5" fillId="0" borderId="6" xfId="0" applyFont="1" applyBorder="1" applyAlignment="1">
      <alignment vertical="top"/>
    </xf>
    <xf numFmtId="0" fontId="5" fillId="0" borderId="12" xfId="0" applyFont="1" applyBorder="1" applyAlignment="1">
      <alignment horizontal="center" vertical="center"/>
    </xf>
    <xf numFmtId="177" fontId="5" fillId="0" borderId="12" xfId="0" applyNumberFormat="1" applyFont="1" applyBorder="1" applyAlignment="1">
      <alignment horizontal="center" vertical="center"/>
    </xf>
    <xf numFmtId="177" fontId="5" fillId="0" borderId="0" xfId="0" applyNumberFormat="1" applyFont="1" applyAlignment="1">
      <alignment vertical="top"/>
    </xf>
    <xf numFmtId="0" fontId="5" fillId="0" borderId="8" xfId="0" applyFont="1" applyBorder="1" applyAlignment="1">
      <alignment vertical="top"/>
    </xf>
    <xf numFmtId="0" fontId="5" fillId="0" borderId="10" xfId="0" applyFont="1" applyBorder="1" applyAlignment="1">
      <alignment vertical="top"/>
    </xf>
    <xf numFmtId="0" fontId="5" fillId="0" borderId="9" xfId="0" applyFont="1" applyBorder="1" applyAlignment="1">
      <alignment vertical="top"/>
    </xf>
    <xf numFmtId="181" fontId="27" fillId="5" borderId="12" xfId="0" quotePrefix="1" applyNumberFormat="1" applyFont="1" applyFill="1" applyBorder="1" applyAlignment="1">
      <alignment horizontal="center" vertical="center"/>
    </xf>
    <xf numFmtId="181" fontId="27" fillId="5" borderId="12" xfId="0" applyNumberFormat="1" applyFont="1" applyFill="1" applyBorder="1" applyAlignment="1">
      <alignment horizontal="center" vertical="center"/>
    </xf>
    <xf numFmtId="0" fontId="4" fillId="0" borderId="15" xfId="0" applyFont="1" applyBorder="1" applyAlignment="1">
      <alignment vertical="center"/>
    </xf>
    <xf numFmtId="0" fontId="4" fillId="0" borderId="12" xfId="0" applyFont="1" applyBorder="1" applyAlignment="1">
      <alignment vertical="center"/>
    </xf>
    <xf numFmtId="0" fontId="7" fillId="12" borderId="0" xfId="0" applyFont="1" applyFill="1" applyAlignment="1">
      <alignment horizontal="right" vertical="center"/>
    </xf>
    <xf numFmtId="0" fontId="4" fillId="12" borderId="0" xfId="0" applyFont="1" applyFill="1" applyAlignment="1">
      <alignment horizontal="right" vertical="center"/>
    </xf>
    <xf numFmtId="0" fontId="4" fillId="0" borderId="0" xfId="0" applyFont="1" applyAlignment="1">
      <alignment horizontal="center" vertical="center"/>
    </xf>
    <xf numFmtId="0" fontId="5" fillId="0" borderId="32" xfId="0" applyFont="1" applyBorder="1" applyAlignment="1">
      <alignment horizontal="center" wrapText="1"/>
    </xf>
    <xf numFmtId="0" fontId="5" fillId="21" borderId="32" xfId="0" applyFont="1" applyFill="1" applyBorder="1" applyAlignment="1">
      <alignment horizontal="center" wrapText="1"/>
    </xf>
    <xf numFmtId="0" fontId="5" fillId="0" borderId="0" xfId="0" applyFont="1" applyAlignment="1">
      <alignment horizontal="center" wrapText="1"/>
    </xf>
    <xf numFmtId="0" fontId="5" fillId="21" borderId="28" xfId="0" applyFont="1" applyFill="1" applyBorder="1" applyAlignment="1">
      <alignment horizontal="center" wrapText="1"/>
    </xf>
    <xf numFmtId="0" fontId="0" fillId="24" borderId="14" xfId="0" applyFill="1" applyBorder="1" applyAlignment="1">
      <alignment horizontal="center" wrapText="1"/>
    </xf>
    <xf numFmtId="0" fontId="0" fillId="0" borderId="44" xfId="0" applyBorder="1" applyAlignment="1">
      <alignment horizontal="center" wrapText="1"/>
    </xf>
    <xf numFmtId="0" fontId="0" fillId="24" borderId="44" xfId="0" quotePrefix="1" applyFill="1" applyBorder="1" applyAlignment="1">
      <alignment horizontal="center" wrapText="1"/>
    </xf>
    <xf numFmtId="0" fontId="0" fillId="24" borderId="44" xfId="0" applyFill="1" applyBorder="1" applyAlignment="1">
      <alignment horizontal="center" wrapText="1"/>
    </xf>
    <xf numFmtId="0" fontId="0" fillId="24" borderId="41" xfId="0" applyFill="1" applyBorder="1" applyAlignment="1">
      <alignment horizontal="center" wrapText="1"/>
    </xf>
    <xf numFmtId="0" fontId="0" fillId="22" borderId="14" xfId="0" applyFill="1" applyBorder="1" applyAlignment="1">
      <alignment horizontal="center" wrapText="1"/>
    </xf>
    <xf numFmtId="181" fontId="7" fillId="0" borderId="0" xfId="0" applyNumberFormat="1" applyFont="1" applyAlignment="1">
      <alignment horizontal="center" vertical="center"/>
    </xf>
    <xf numFmtId="181" fontId="32" fillId="0" borderId="12" xfId="0" quotePrefix="1" applyNumberFormat="1" applyFont="1" applyBorder="1" applyAlignment="1">
      <alignment horizontal="center" vertical="center"/>
    </xf>
    <xf numFmtId="0" fontId="4" fillId="0" borderId="27" xfId="0" applyFont="1" applyBorder="1" applyAlignment="1">
      <alignment horizontal="center" wrapText="1"/>
    </xf>
    <xf numFmtId="0" fontId="4" fillId="0" borderId="32" xfId="0" applyFont="1" applyBorder="1" applyAlignment="1">
      <alignment horizontal="center" wrapText="1"/>
    </xf>
    <xf numFmtId="0" fontId="0" fillId="0" borderId="28" xfId="0" applyBorder="1" applyAlignment="1">
      <alignment horizontal="center" wrapText="1"/>
    </xf>
    <xf numFmtId="0" fontId="48" fillId="0" borderId="0" xfId="0" applyFont="1"/>
    <xf numFmtId="0" fontId="49" fillId="0" borderId="0" xfId="0" applyFont="1"/>
    <xf numFmtId="1" fontId="39" fillId="27" borderId="20" xfId="0" applyNumberFormat="1" applyFont="1" applyFill="1" applyBorder="1" applyAlignment="1">
      <alignment horizontal="center" vertical="center"/>
    </xf>
    <xf numFmtId="0" fontId="50" fillId="0" borderId="0" xfId="0" applyFont="1" applyAlignment="1">
      <alignment vertical="top"/>
    </xf>
    <xf numFmtId="0" fontId="50" fillId="0" borderId="0" xfId="0" applyFont="1" applyAlignment="1">
      <alignment horizontal="center" vertical="top"/>
    </xf>
    <xf numFmtId="0" fontId="4" fillId="0" borderId="0" xfId="0" applyFont="1" applyAlignment="1">
      <alignment horizontal="center" vertical="top"/>
    </xf>
    <xf numFmtId="0" fontId="4" fillId="0" borderId="44" xfId="0" applyFont="1" applyBorder="1" applyAlignment="1">
      <alignment horizontal="center" wrapText="1"/>
    </xf>
    <xf numFmtId="177" fontId="42" fillId="10" borderId="12" xfId="0" applyNumberFormat="1" applyFont="1" applyFill="1" applyBorder="1" applyAlignment="1">
      <alignment horizontal="center" vertical="center"/>
    </xf>
    <xf numFmtId="0" fontId="41" fillId="8" borderId="5" xfId="0" applyFont="1" applyFill="1" applyBorder="1" applyAlignment="1">
      <alignment horizontal="center" vertical="center"/>
    </xf>
    <xf numFmtId="0" fontId="41" fillId="8" borderId="26" xfId="0" applyFont="1" applyFill="1" applyBorder="1" applyAlignment="1">
      <alignment horizontal="center" vertical="center"/>
    </xf>
    <xf numFmtId="1" fontId="39" fillId="11" borderId="47" xfId="0" applyNumberFormat="1" applyFont="1" applyFill="1" applyBorder="1" applyAlignment="1">
      <alignment horizontal="center" vertical="center"/>
    </xf>
    <xf numFmtId="1" fontId="39" fillId="11" borderId="26" xfId="0" applyNumberFormat="1" applyFont="1" applyFill="1" applyBorder="1" applyAlignment="1">
      <alignment horizontal="center" vertical="center"/>
    </xf>
    <xf numFmtId="0" fontId="5" fillId="23" borderId="45" xfId="0" applyFont="1" applyFill="1" applyBorder="1" applyAlignment="1">
      <alignment horizontal="left" vertical="center"/>
    </xf>
    <xf numFmtId="0" fontId="5" fillId="23" borderId="46" xfId="0" applyFont="1" applyFill="1" applyBorder="1" applyAlignment="1">
      <alignment horizontal="left" vertical="center"/>
    </xf>
    <xf numFmtId="0" fontId="5" fillId="28" borderId="45" xfId="0" applyFont="1" applyFill="1" applyBorder="1" applyAlignment="1">
      <alignment horizontal="left" vertical="center"/>
    </xf>
    <xf numFmtId="0" fontId="5" fillId="28" borderId="46" xfId="0" applyFont="1" applyFill="1" applyBorder="1" applyAlignment="1">
      <alignment horizontal="left" vertical="center"/>
    </xf>
    <xf numFmtId="0" fontId="50" fillId="0" borderId="47" xfId="0" applyFont="1" applyBorder="1" applyAlignment="1">
      <alignment horizontal="center" vertical="center"/>
    </xf>
    <xf numFmtId="0" fontId="50" fillId="0" borderId="26" xfId="0" applyFont="1" applyBorder="1" applyAlignment="1">
      <alignment horizontal="center" vertical="center"/>
    </xf>
    <xf numFmtId="0" fontId="5" fillId="23" borderId="48" xfId="0" applyFont="1" applyFill="1" applyBorder="1" applyAlignment="1">
      <alignment horizontal="left" vertical="center"/>
    </xf>
    <xf numFmtId="181" fontId="8" fillId="0" borderId="7" xfId="0" quotePrefix="1" applyNumberFormat="1" applyFont="1" applyBorder="1" applyAlignment="1">
      <alignment horizontal="left" vertical="top" wrapText="1"/>
    </xf>
    <xf numFmtId="0" fontId="41" fillId="30" borderId="0" xfId="0" applyFont="1" applyFill="1" applyAlignment="1">
      <alignment vertical="top"/>
    </xf>
    <xf numFmtId="181" fontId="52" fillId="30" borderId="0" xfId="0" applyNumberFormat="1" applyFont="1" applyFill="1" applyAlignment="1">
      <alignment horizontal="center" vertical="center"/>
    </xf>
    <xf numFmtId="0" fontId="5" fillId="29" borderId="25" xfId="0" applyFont="1" applyFill="1" applyBorder="1" applyAlignment="1">
      <alignment horizontal="left" vertical="center"/>
    </xf>
    <xf numFmtId="0" fontId="41" fillId="29" borderId="26" xfId="0" applyFont="1" applyFill="1" applyBorder="1" applyAlignment="1">
      <alignment horizontal="center" vertical="center"/>
    </xf>
    <xf numFmtId="0" fontId="45" fillId="5" borderId="12" xfId="0" applyFont="1" applyFill="1" applyBorder="1" applyAlignment="1">
      <alignment horizontal="center" vertical="center"/>
    </xf>
    <xf numFmtId="0" fontId="6" fillId="4" borderId="49" xfId="0" applyFont="1" applyFill="1" applyBorder="1" applyAlignment="1">
      <alignment horizontal="centerContinuous" vertical="center" wrapText="1"/>
    </xf>
    <xf numFmtId="177" fontId="7" fillId="9" borderId="12" xfId="0" applyNumberFormat="1" applyFont="1" applyFill="1" applyBorder="1" applyAlignment="1">
      <alignment horizontal="center" vertical="center"/>
    </xf>
    <xf numFmtId="177" fontId="4" fillId="9" borderId="18" xfId="0" applyNumberFormat="1" applyFont="1" applyFill="1" applyBorder="1" applyAlignment="1">
      <alignment horizontal="center" vertical="center"/>
    </xf>
    <xf numFmtId="0" fontId="6" fillId="4" borderId="43" xfId="0" applyFont="1" applyFill="1" applyBorder="1" applyAlignment="1">
      <alignment horizontal="centerContinuous" vertical="center" wrapText="1"/>
    </xf>
    <xf numFmtId="0" fontId="6" fillId="4" borderId="50" xfId="0" applyFont="1" applyFill="1" applyBorder="1" applyAlignment="1">
      <alignment horizontal="centerContinuous" vertical="center" wrapText="1"/>
    </xf>
    <xf numFmtId="0" fontId="6" fillId="4" borderId="41" xfId="0" applyFont="1" applyFill="1" applyBorder="1" applyAlignment="1">
      <alignment horizontal="center" vertical="center" wrapText="1"/>
    </xf>
    <xf numFmtId="0" fontId="6" fillId="4" borderId="51" xfId="0" applyFont="1" applyFill="1" applyBorder="1" applyAlignment="1">
      <alignment horizontal="centerContinuous" vertical="center" wrapText="1"/>
    </xf>
    <xf numFmtId="0" fontId="6" fillId="4" borderId="28" xfId="0" applyFont="1" applyFill="1" applyBorder="1" applyAlignment="1">
      <alignment horizontal="center" vertical="center" wrapText="1"/>
    </xf>
    <xf numFmtId="177" fontId="7" fillId="9" borderId="31" xfId="0" applyNumberFormat="1" applyFont="1" applyFill="1" applyBorder="1" applyAlignment="1">
      <alignment horizontal="center" vertical="center"/>
    </xf>
    <xf numFmtId="177" fontId="7" fillId="0" borderId="12" xfId="0" applyNumberFormat="1" applyFont="1" applyBorder="1" applyAlignment="1">
      <alignment horizontal="center" vertical="center"/>
    </xf>
    <xf numFmtId="177" fontId="7" fillId="0" borderId="20" xfId="0" applyNumberFormat="1" applyFont="1" applyBorder="1" applyAlignment="1">
      <alignment horizontal="center" vertical="center"/>
    </xf>
    <xf numFmtId="177" fontId="7" fillId="0" borderId="21" xfId="0" applyNumberFormat="1" applyFont="1" applyBorder="1" applyAlignment="1">
      <alignment horizontal="center" vertical="center"/>
    </xf>
    <xf numFmtId="177" fontId="7" fillId="0" borderId="18" xfId="0" applyNumberFormat="1" applyFont="1" applyBorder="1" applyAlignment="1">
      <alignment horizontal="center" vertical="center"/>
    </xf>
    <xf numFmtId="0" fontId="7" fillId="9" borderId="15" xfId="0" applyFont="1" applyFill="1" applyBorder="1" applyAlignment="1">
      <alignment vertical="center"/>
    </xf>
    <xf numFmtId="0" fontId="7" fillId="9" borderId="17" xfId="0" applyFont="1" applyFill="1" applyBorder="1" applyAlignment="1">
      <alignment vertical="center"/>
    </xf>
    <xf numFmtId="177" fontId="7" fillId="9" borderId="52" xfId="0" applyNumberFormat="1" applyFont="1" applyFill="1" applyBorder="1" applyAlignment="1">
      <alignment horizontal="center" vertical="center"/>
    </xf>
    <xf numFmtId="9" fontId="5" fillId="0" borderId="12" xfId="0" applyNumberFormat="1" applyFont="1" applyBorder="1" applyAlignment="1">
      <alignment horizontal="center" vertical="center"/>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4" fillId="0" borderId="0" xfId="0" applyFont="1" applyAlignment="1">
      <alignment vertical="center"/>
    </xf>
    <xf numFmtId="9" fontId="4" fillId="0" borderId="12" xfId="0" applyNumberFormat="1" applyFont="1" applyBorder="1" applyAlignment="1">
      <alignment horizontal="center" vertical="center"/>
    </xf>
    <xf numFmtId="0" fontId="0" fillId="0" borderId="0" xfId="0" applyAlignment="1">
      <alignment wrapText="1"/>
    </xf>
    <xf numFmtId="0" fontId="26" fillId="0" borderId="17" xfId="0" applyFont="1" applyBorder="1"/>
    <xf numFmtId="0" fontId="33" fillId="0" borderId="2" xfId="0" applyFont="1" applyBorder="1" applyAlignment="1">
      <alignment vertical="top" wrapText="1"/>
    </xf>
    <xf numFmtId="0" fontId="5" fillId="23" borderId="27" xfId="0" applyFont="1" applyFill="1" applyBorder="1" applyAlignment="1">
      <alignment horizontal="center" wrapText="1"/>
    </xf>
    <xf numFmtId="0" fontId="7" fillId="31" borderId="0" xfId="0" applyFont="1" applyFill="1" applyAlignment="1">
      <alignment horizontal="center" vertical="center"/>
    </xf>
    <xf numFmtId="0" fontId="47" fillId="31" borderId="0" xfId="0" applyFont="1" applyFill="1" applyAlignment="1">
      <alignment horizontal="center"/>
    </xf>
    <xf numFmtId="0" fontId="47" fillId="31" borderId="0" xfId="0" applyFont="1" applyFill="1" applyAlignment="1">
      <alignment horizontal="center" vertical="center"/>
    </xf>
    <xf numFmtId="177" fontId="44" fillId="0" borderId="0" xfId="0" applyNumberFormat="1" applyFont="1" applyAlignment="1">
      <alignment horizontal="left" vertical="top"/>
    </xf>
    <xf numFmtId="181" fontId="5" fillId="0" borderId="0" xfId="0" applyNumberFormat="1" applyFont="1" applyAlignment="1">
      <alignment vertical="top"/>
    </xf>
    <xf numFmtId="183" fontId="5" fillId="0" borderId="0" xfId="0" applyNumberFormat="1" applyFont="1" applyAlignment="1">
      <alignment vertical="top"/>
    </xf>
    <xf numFmtId="0" fontId="54" fillId="12" borderId="0" xfId="0" applyFont="1" applyFill="1"/>
    <xf numFmtId="177" fontId="54" fillId="12" borderId="0" xfId="0" applyNumberFormat="1" applyFont="1" applyFill="1"/>
    <xf numFmtId="0" fontId="26" fillId="0" borderId="25" xfId="0" applyFont="1" applyBorder="1" applyAlignment="1">
      <alignment vertical="center"/>
    </xf>
    <xf numFmtId="0" fontId="26" fillId="0" borderId="42" xfId="0" applyFont="1" applyBorder="1" applyAlignment="1">
      <alignment vertical="center"/>
    </xf>
    <xf numFmtId="0" fontId="0" fillId="0" borderId="26" xfId="0" applyBorder="1"/>
    <xf numFmtId="177" fontId="26" fillId="0" borderId="25" xfId="0" applyNumberFormat="1" applyFont="1" applyBorder="1" applyAlignment="1">
      <alignment horizontal="center" vertical="center"/>
    </xf>
    <xf numFmtId="0" fontId="26" fillId="0" borderId="45" xfId="0" applyFont="1" applyBorder="1" applyAlignment="1">
      <alignment horizontal="center" vertical="center"/>
    </xf>
    <xf numFmtId="0" fontId="4" fillId="0" borderId="45" xfId="0" applyFont="1" applyBorder="1" applyAlignment="1">
      <alignment horizontal="center"/>
    </xf>
    <xf numFmtId="0" fontId="4" fillId="0" borderId="0" xfId="0" applyFont="1"/>
    <xf numFmtId="0" fontId="0" fillId="0" borderId="14" xfId="0" applyBorder="1" applyAlignment="1">
      <alignment horizontal="center" wrapText="1"/>
    </xf>
    <xf numFmtId="0" fontId="4" fillId="0" borderId="14" xfId="0" applyFont="1" applyBorder="1" applyAlignment="1">
      <alignment horizontal="center" wrapText="1"/>
    </xf>
    <xf numFmtId="0" fontId="4" fillId="31" borderId="16" xfId="0" applyFont="1" applyFill="1" applyBorder="1" applyAlignment="1">
      <alignment horizontal="center"/>
    </xf>
    <xf numFmtId="0" fontId="4" fillId="31" borderId="13" xfId="0" applyFont="1" applyFill="1" applyBorder="1" applyAlignment="1">
      <alignment horizontal="center"/>
    </xf>
    <xf numFmtId="0" fontId="0" fillId="31" borderId="13" xfId="0" applyFill="1" applyBorder="1" applyAlignment="1">
      <alignment horizontal="center"/>
    </xf>
    <xf numFmtId="177" fontId="3" fillId="31" borderId="13" xfId="2" applyNumberFormat="1" applyFont="1" applyFill="1" applyBorder="1" applyAlignment="1">
      <alignment horizontal="center"/>
    </xf>
    <xf numFmtId="2" fontId="4" fillId="31" borderId="1" xfId="2" applyNumberFormat="1" applyFont="1" applyFill="1" applyBorder="1" applyAlignment="1">
      <alignment horizontal="center"/>
    </xf>
    <xf numFmtId="0" fontId="4" fillId="32" borderId="16" xfId="0" applyFont="1" applyFill="1" applyBorder="1" applyAlignment="1">
      <alignment horizontal="center"/>
    </xf>
    <xf numFmtId="0" fontId="4" fillId="32" borderId="13" xfId="0" applyFont="1" applyFill="1" applyBorder="1" applyAlignment="1">
      <alignment horizontal="center"/>
    </xf>
    <xf numFmtId="0" fontId="0" fillId="32" borderId="13" xfId="0" applyFill="1" applyBorder="1" applyAlignment="1">
      <alignment horizontal="center"/>
    </xf>
    <xf numFmtId="177" fontId="3" fillId="32" borderId="13" xfId="2" applyNumberFormat="1" applyFont="1" applyFill="1" applyBorder="1" applyAlignment="1">
      <alignment horizontal="center"/>
    </xf>
    <xf numFmtId="2" fontId="4" fillId="32" borderId="1" xfId="2" applyNumberFormat="1" applyFont="1" applyFill="1" applyBorder="1" applyAlignment="1">
      <alignment horizontal="center"/>
    </xf>
    <xf numFmtId="177" fontId="7" fillId="20" borderId="12" xfId="0" applyNumberFormat="1" applyFont="1" applyFill="1" applyBorder="1" applyAlignment="1">
      <alignment horizontal="center" vertical="center"/>
    </xf>
    <xf numFmtId="177" fontId="4" fillId="20" borderId="18" xfId="0" applyNumberFormat="1" applyFont="1" applyFill="1" applyBorder="1" applyAlignment="1">
      <alignment horizontal="center" vertical="center"/>
    </xf>
    <xf numFmtId="177" fontId="7" fillId="20" borderId="20" xfId="0" applyNumberFormat="1" applyFont="1" applyFill="1" applyBorder="1" applyAlignment="1">
      <alignment horizontal="center" vertical="center"/>
    </xf>
    <xf numFmtId="177" fontId="7" fillId="20" borderId="21" xfId="0" applyNumberFormat="1" applyFont="1" applyFill="1" applyBorder="1" applyAlignment="1">
      <alignment horizontal="center" vertical="center"/>
    </xf>
    <xf numFmtId="177" fontId="4" fillId="9" borderId="12" xfId="0" applyNumberFormat="1" applyFont="1" applyFill="1" applyBorder="1" applyAlignment="1">
      <alignment horizontal="center" vertical="center"/>
    </xf>
    <xf numFmtId="1" fontId="32" fillId="0" borderId="12" xfId="0" quotePrefix="1" applyNumberFormat="1" applyFont="1" applyBorder="1" applyAlignment="1">
      <alignment horizontal="center" vertical="center"/>
    </xf>
    <xf numFmtId="9" fontId="0" fillId="0" borderId="0" xfId="2" applyFont="1"/>
    <xf numFmtId="0" fontId="6" fillId="4" borderId="40" xfId="0" applyFont="1" applyFill="1" applyBorder="1" applyAlignment="1">
      <alignment horizontal="center" vertical="center"/>
    </xf>
    <xf numFmtId="177" fontId="53" fillId="5" borderId="12" xfId="0" applyNumberFormat="1" applyFont="1" applyFill="1" applyBorder="1" applyAlignment="1">
      <alignment horizontal="center" vertical="center"/>
    </xf>
    <xf numFmtId="177" fontId="53" fillId="26" borderId="12" xfId="0" applyNumberFormat="1" applyFont="1" applyFill="1" applyBorder="1" applyAlignment="1">
      <alignment horizontal="center" vertical="center"/>
    </xf>
    <xf numFmtId="0" fontId="55" fillId="0" borderId="0" xfId="0" applyFont="1" applyAlignment="1">
      <alignment horizontal="center" vertical="center"/>
    </xf>
    <xf numFmtId="177" fontId="2" fillId="32" borderId="13" xfId="2" applyNumberFormat="1" applyFont="1" applyFill="1" applyBorder="1" applyAlignment="1">
      <alignment horizontal="center"/>
    </xf>
    <xf numFmtId="177" fontId="1" fillId="32" borderId="13" xfId="2" applyNumberFormat="1" applyFont="1" applyFill="1" applyBorder="1" applyAlignment="1">
      <alignment horizontal="center"/>
    </xf>
    <xf numFmtId="177" fontId="28" fillId="0" borderId="0" xfId="0" applyNumberFormat="1" applyFont="1" applyAlignment="1">
      <alignment horizontal="center" vertical="center"/>
    </xf>
    <xf numFmtId="177" fontId="53" fillId="8" borderId="12" xfId="0" applyNumberFormat="1" applyFont="1" applyFill="1" applyBorder="1" applyAlignment="1">
      <alignment horizontal="center" vertical="center"/>
    </xf>
    <xf numFmtId="0" fontId="31" fillId="0" borderId="12" xfId="0" applyFont="1" applyBorder="1" applyAlignment="1">
      <alignment horizontal="center" vertical="center"/>
    </xf>
    <xf numFmtId="0" fontId="0" fillId="0" borderId="33" xfId="0" applyBorder="1" applyAlignment="1">
      <alignment vertical="center" wrapText="1"/>
    </xf>
    <xf numFmtId="0" fontId="26" fillId="0" borderId="0" xfId="0" applyFont="1" applyAlignment="1">
      <alignment horizontal="center" vertical="center" wrapText="1"/>
    </xf>
    <xf numFmtId="0" fontId="27" fillId="0" borderId="0" xfId="0" quotePrefix="1" applyFont="1" applyAlignment="1">
      <alignment horizontal="center" vertical="center" wrapText="1"/>
    </xf>
    <xf numFmtId="0" fontId="16" fillId="0" borderId="0" xfId="0" applyFont="1" applyAlignment="1">
      <alignment vertical="center" wrapText="1"/>
    </xf>
    <xf numFmtId="0" fontId="55" fillId="30" borderId="0" xfId="0" applyFont="1" applyFill="1" applyAlignment="1">
      <alignment horizontal="center" vertical="center"/>
    </xf>
    <xf numFmtId="0" fontId="36" fillId="0" borderId="15" xfId="0" applyFont="1" applyBorder="1" applyAlignment="1">
      <alignment vertical="center"/>
    </xf>
    <xf numFmtId="0" fontId="26" fillId="0" borderId="8" xfId="0" applyFont="1" applyBorder="1" applyAlignment="1">
      <alignment vertical="center"/>
    </xf>
    <xf numFmtId="0" fontId="26" fillId="0" borderId="10" xfId="0" applyFont="1" applyBorder="1" applyAlignment="1">
      <alignment vertical="center"/>
    </xf>
    <xf numFmtId="177" fontId="26" fillId="0" borderId="8" xfId="0" applyNumberFormat="1" applyFont="1" applyBorder="1" applyAlignment="1">
      <alignment horizontal="center" vertical="center"/>
    </xf>
    <xf numFmtId="0" fontId="4" fillId="0" borderId="0" xfId="0" applyFont="1" applyAlignment="1">
      <alignment horizontal="center" wrapText="1"/>
    </xf>
    <xf numFmtId="2" fontId="0" fillId="31" borderId="13" xfId="0" applyNumberFormat="1" applyFill="1" applyBorder="1" applyAlignment="1">
      <alignment horizontal="center"/>
    </xf>
    <xf numFmtId="0" fontId="4" fillId="0" borderId="45" xfId="0" applyFont="1" applyBorder="1" applyAlignment="1">
      <alignment horizontal="left"/>
    </xf>
    <xf numFmtId="0" fontId="4" fillId="0" borderId="45" xfId="0" applyFont="1" applyBorder="1"/>
    <xf numFmtId="1" fontId="3" fillId="31" borderId="13" xfId="2" applyNumberFormat="1" applyFont="1" applyFill="1" applyBorder="1" applyAlignment="1">
      <alignment horizontal="center"/>
    </xf>
    <xf numFmtId="0" fontId="4" fillId="0" borderId="14" xfId="0" applyFont="1" applyBorder="1" applyAlignment="1">
      <alignment horizontal="center" vertical="center" wrapText="1"/>
    </xf>
    <xf numFmtId="0" fontId="0" fillId="0" borderId="14" xfId="0" applyBorder="1" applyAlignment="1">
      <alignment horizontal="center" vertical="center" wrapText="1"/>
    </xf>
    <xf numFmtId="0" fontId="4" fillId="0" borderId="25" xfId="0" applyFont="1" applyBorder="1"/>
    <xf numFmtId="0" fontId="0" fillId="0" borderId="42" xfId="0" applyBorder="1"/>
    <xf numFmtId="0" fontId="0" fillId="0" borderId="45" xfId="0" applyBorder="1"/>
    <xf numFmtId="0" fontId="4" fillId="0" borderId="25" xfId="0" applyFont="1" applyBorder="1" applyAlignment="1">
      <alignment horizontal="left" vertical="center"/>
    </xf>
    <xf numFmtId="0" fontId="4" fillId="0" borderId="26" xfId="0" applyFont="1" applyBorder="1" applyAlignment="1">
      <alignment horizontal="left" vertical="center"/>
    </xf>
    <xf numFmtId="0" fontId="4" fillId="0" borderId="0" xfId="0" applyFont="1" applyAlignment="1">
      <alignment horizontal="left"/>
    </xf>
    <xf numFmtId="0" fontId="4" fillId="31" borderId="46" xfId="0" applyFont="1" applyFill="1" applyBorder="1" applyAlignment="1">
      <alignment horizontal="center"/>
    </xf>
    <xf numFmtId="0" fontId="4" fillId="31" borderId="55" xfId="0" applyFont="1" applyFill="1" applyBorder="1" applyAlignment="1">
      <alignment horizontal="center"/>
    </xf>
    <xf numFmtId="177" fontId="3" fillId="31" borderId="55" xfId="2" applyNumberFormat="1" applyFont="1" applyFill="1" applyBorder="1" applyAlignment="1">
      <alignment horizontal="center"/>
    </xf>
    <xf numFmtId="1" fontId="3" fillId="31" borderId="55" xfId="2" applyNumberFormat="1" applyFont="1" applyFill="1" applyBorder="1" applyAlignment="1">
      <alignment horizontal="center"/>
    </xf>
    <xf numFmtId="2" fontId="4" fillId="31" borderId="47" xfId="2" applyNumberFormat="1" applyFont="1" applyFill="1" applyBorder="1" applyAlignment="1">
      <alignment horizontal="center"/>
    </xf>
    <xf numFmtId="1" fontId="50" fillId="33" borderId="47" xfId="0" applyNumberFormat="1" applyFont="1" applyFill="1" applyBorder="1" applyAlignment="1">
      <alignment horizontal="center" vertical="center"/>
    </xf>
    <xf numFmtId="1" fontId="50" fillId="33" borderId="57" xfId="0" applyNumberFormat="1" applyFont="1" applyFill="1" applyBorder="1" applyAlignment="1">
      <alignment horizontal="center" vertical="center"/>
    </xf>
    <xf numFmtId="177" fontId="26" fillId="0" borderId="58" xfId="0" applyNumberFormat="1" applyFont="1" applyBorder="1" applyAlignment="1">
      <alignment horizontal="center" vertical="center"/>
    </xf>
    <xf numFmtId="177" fontId="50" fillId="34" borderId="45" xfId="0" applyNumberFormat="1" applyFont="1" applyFill="1" applyBorder="1" applyAlignment="1">
      <alignment horizontal="center" vertical="center"/>
    </xf>
    <xf numFmtId="1" fontId="50" fillId="34" borderId="45" xfId="0" applyNumberFormat="1" applyFont="1" applyFill="1" applyBorder="1" applyAlignment="1">
      <alignment horizontal="center" vertical="center"/>
    </xf>
    <xf numFmtId="1" fontId="0" fillId="31" borderId="55" xfId="0" applyNumberFormat="1" applyFill="1" applyBorder="1" applyAlignment="1">
      <alignment horizontal="center"/>
    </xf>
    <xf numFmtId="2" fontId="32" fillId="0" borderId="12" xfId="0" quotePrefix="1" applyNumberFormat="1" applyFont="1" applyBorder="1" applyAlignment="1">
      <alignment horizontal="center" vertical="center"/>
    </xf>
    <xf numFmtId="2" fontId="50" fillId="33" borderId="47" xfId="0" applyNumberFormat="1" applyFont="1" applyFill="1" applyBorder="1" applyAlignment="1">
      <alignment horizontal="center" vertical="center"/>
    </xf>
    <xf numFmtId="182" fontId="5" fillId="0" borderId="0" xfId="0" applyNumberFormat="1" applyFont="1" applyAlignment="1">
      <alignment horizontal="center" vertical="center"/>
    </xf>
    <xf numFmtId="9" fontId="5" fillId="0" borderId="0" xfId="0" applyNumberFormat="1" applyFont="1" applyAlignment="1">
      <alignment horizontal="center" vertical="center"/>
    </xf>
    <xf numFmtId="182" fontId="45" fillId="8" borderId="12" xfId="0" applyNumberFormat="1" applyFont="1" applyFill="1" applyBorder="1" applyAlignment="1">
      <alignment horizontal="center" vertical="center"/>
    </xf>
    <xf numFmtId="0" fontId="54" fillId="0" borderId="0" xfId="0" applyFont="1" applyAlignment="1">
      <alignment horizontal="left"/>
    </xf>
    <xf numFmtId="0" fontId="59" fillId="0" borderId="7" xfId="0" applyFont="1" applyBorder="1" applyAlignment="1">
      <alignment vertical="top" wrapText="1"/>
    </xf>
    <xf numFmtId="0" fontId="5" fillId="0" borderId="12" xfId="0" applyFont="1" applyBorder="1" applyAlignment="1">
      <alignment horizontal="center" vertical="top"/>
    </xf>
    <xf numFmtId="182" fontId="5" fillId="0" borderId="12" xfId="0" applyNumberFormat="1" applyFont="1" applyBorder="1" applyAlignment="1">
      <alignment horizontal="center" vertical="center"/>
    </xf>
    <xf numFmtId="9" fontId="5" fillId="0" borderId="12" xfId="0" applyNumberFormat="1" applyFont="1" applyBorder="1" applyAlignment="1">
      <alignment horizontal="center" vertical="top"/>
    </xf>
    <xf numFmtId="0" fontId="5" fillId="0" borderId="12" xfId="0" applyFont="1" applyBorder="1" applyAlignment="1">
      <alignment horizontal="center" vertical="center" wrapText="1"/>
    </xf>
    <xf numFmtId="0" fontId="26" fillId="0" borderId="59" xfId="0" applyFont="1" applyBorder="1"/>
    <xf numFmtId="0" fontId="0" fillId="0" borderId="14" xfId="0" applyBorder="1"/>
    <xf numFmtId="0" fontId="8" fillId="0" borderId="11" xfId="0" applyFont="1" applyBorder="1"/>
    <xf numFmtId="0" fontId="4" fillId="22" borderId="27" xfId="0" applyFont="1" applyFill="1" applyBorder="1" applyAlignment="1">
      <alignment horizontal="center" wrapText="1"/>
    </xf>
    <xf numFmtId="0" fontId="4" fillId="22" borderId="32" xfId="0" applyFont="1" applyFill="1" applyBorder="1" applyAlignment="1">
      <alignment horizontal="center" wrapText="1"/>
    </xf>
    <xf numFmtId="0" fontId="4" fillId="22" borderId="28" xfId="0" applyFont="1" applyFill="1" applyBorder="1" applyAlignment="1">
      <alignment horizontal="center" wrapText="1"/>
    </xf>
    <xf numFmtId="0" fontId="0" fillId="24" borderId="14" xfId="0" quotePrefix="1" applyFill="1" applyBorder="1" applyAlignment="1">
      <alignment horizontal="center" wrapText="1"/>
    </xf>
    <xf numFmtId="0" fontId="8" fillId="0" borderId="38" xfId="0" applyFont="1" applyBorder="1" applyAlignment="1">
      <alignment horizontal="center"/>
    </xf>
    <xf numFmtId="0" fontId="8" fillId="0" borderId="36" xfId="0" applyFont="1" applyBorder="1" applyAlignment="1">
      <alignment horizontal="center"/>
    </xf>
    <xf numFmtId="0" fontId="8" fillId="0" borderId="9" xfId="0" applyFont="1" applyBorder="1"/>
    <xf numFmtId="0" fontId="5" fillId="23" borderId="14" xfId="0" applyFont="1" applyFill="1" applyBorder="1" applyAlignment="1">
      <alignment horizontal="center" wrapText="1"/>
    </xf>
    <xf numFmtId="0" fontId="5" fillId="0" borderId="44" xfId="0" applyFont="1" applyBorder="1" applyAlignment="1">
      <alignment horizontal="center" wrapText="1"/>
    </xf>
    <xf numFmtId="0" fontId="5" fillId="23" borderId="44" xfId="0" applyFont="1" applyFill="1" applyBorder="1" applyAlignment="1">
      <alignment horizontal="center" wrapText="1"/>
    </xf>
    <xf numFmtId="0" fontId="5" fillId="23" borderId="41" xfId="0" applyFont="1" applyFill="1" applyBorder="1" applyAlignment="1">
      <alignment horizontal="center" wrapText="1"/>
    </xf>
    <xf numFmtId="0" fontId="5" fillId="0" borderId="14" xfId="0" applyFont="1" applyBorder="1" applyAlignment="1">
      <alignment horizontal="center"/>
    </xf>
    <xf numFmtId="0" fontId="5" fillId="0" borderId="41" xfId="0" quotePrefix="1" applyFont="1" applyBorder="1" applyAlignment="1">
      <alignment horizontal="center" wrapText="1"/>
    </xf>
    <xf numFmtId="0" fontId="0" fillId="25" borderId="14" xfId="0" applyFill="1" applyBorder="1" applyAlignment="1">
      <alignment horizontal="center" wrapText="1"/>
    </xf>
    <xf numFmtId="0" fontId="4" fillId="25" borderId="44" xfId="0" quotePrefix="1" applyFont="1" applyFill="1" applyBorder="1" applyAlignment="1">
      <alignment horizontal="center" wrapText="1"/>
    </xf>
    <xf numFmtId="0" fontId="0" fillId="25" borderId="41" xfId="0" applyFill="1" applyBorder="1" applyAlignment="1">
      <alignment horizontal="center" wrapText="1"/>
    </xf>
    <xf numFmtId="0" fontId="5" fillId="0" borderId="30" xfId="0" applyFont="1" applyBorder="1" applyAlignment="1">
      <alignment horizontal="center" wrapText="1"/>
    </xf>
    <xf numFmtId="0" fontId="5" fillId="0" borderId="33" xfId="0" applyFont="1" applyBorder="1" applyAlignment="1">
      <alignment horizontal="center" wrapText="1"/>
    </xf>
    <xf numFmtId="0" fontId="5" fillId="0" borderId="29" xfId="0" applyFont="1" applyBorder="1" applyAlignment="1">
      <alignment horizontal="center" wrapText="1"/>
    </xf>
    <xf numFmtId="1" fontId="4" fillId="31" borderId="55" xfId="0" applyNumberFormat="1" applyFont="1" applyFill="1" applyBorder="1" applyAlignment="1">
      <alignment horizontal="center"/>
    </xf>
    <xf numFmtId="0" fontId="54" fillId="0" borderId="0" xfId="0" applyFont="1"/>
    <xf numFmtId="0" fontId="60" fillId="0" borderId="0" xfId="0" applyFont="1"/>
    <xf numFmtId="0" fontId="26" fillId="0" borderId="14" xfId="0" applyFont="1" applyBorder="1" applyAlignment="1">
      <alignment horizontal="center" vertical="center"/>
    </xf>
    <xf numFmtId="177" fontId="53" fillId="5" borderId="31" xfId="0" applyNumberFormat="1" applyFont="1" applyFill="1" applyBorder="1" applyAlignment="1">
      <alignment horizontal="center" vertical="center"/>
    </xf>
    <xf numFmtId="177" fontId="53" fillId="26" borderId="31" xfId="0" applyNumberFormat="1" applyFont="1" applyFill="1" applyBorder="1" applyAlignment="1">
      <alignment horizontal="center" vertical="center"/>
    </xf>
    <xf numFmtId="177" fontId="53" fillId="8" borderId="31" xfId="0" applyNumberFormat="1" applyFont="1" applyFill="1" applyBorder="1" applyAlignment="1">
      <alignment horizontal="center" vertical="center"/>
    </xf>
    <xf numFmtId="177" fontId="53" fillId="5" borderId="20" xfId="0" applyNumberFormat="1" applyFont="1" applyFill="1" applyBorder="1" applyAlignment="1">
      <alignment horizontal="center" vertical="center"/>
    </xf>
    <xf numFmtId="177" fontId="53" fillId="26" borderId="20" xfId="0" applyNumberFormat="1" applyFont="1" applyFill="1" applyBorder="1" applyAlignment="1">
      <alignment horizontal="center" vertical="center"/>
    </xf>
    <xf numFmtId="177" fontId="53" fillId="8" borderId="20" xfId="0" applyNumberFormat="1" applyFont="1" applyFill="1" applyBorder="1" applyAlignment="1">
      <alignment horizontal="center" vertical="center"/>
    </xf>
    <xf numFmtId="9" fontId="5" fillId="0" borderId="0" xfId="0" applyNumberFormat="1" applyFont="1" applyAlignment="1">
      <alignment horizontal="center" vertical="top"/>
    </xf>
    <xf numFmtId="0" fontId="5" fillId="0" borderId="12" xfId="0" applyFont="1" applyBorder="1" applyAlignment="1">
      <alignment horizontal="center" vertical="top" wrapText="1"/>
    </xf>
    <xf numFmtId="182" fontId="42" fillId="10" borderId="12" xfId="0" applyNumberFormat="1" applyFont="1" applyFill="1" applyBorder="1" applyAlignment="1">
      <alignment horizontal="center" vertical="center"/>
    </xf>
    <xf numFmtId="2" fontId="42" fillId="10" borderId="12" xfId="0" applyNumberFormat="1" applyFont="1" applyFill="1" applyBorder="1" applyAlignment="1">
      <alignment horizontal="center" vertical="center"/>
    </xf>
    <xf numFmtId="9" fontId="26" fillId="0" borderId="0" xfId="0" applyNumberFormat="1" applyFont="1" applyAlignment="1">
      <alignment horizontal="left" vertical="top"/>
    </xf>
    <xf numFmtId="0" fontId="26" fillId="0" borderId="0" xfId="0" applyFont="1" applyAlignment="1">
      <alignment horizontal="left" vertical="top"/>
    </xf>
    <xf numFmtId="182" fontId="26" fillId="0" borderId="0" xfId="0" applyNumberFormat="1" applyFont="1" applyAlignment="1">
      <alignment horizontal="left" vertical="top"/>
    </xf>
    <xf numFmtId="177" fontId="42" fillId="10" borderId="18" xfId="0" applyNumberFormat="1" applyFont="1" applyFill="1" applyBorder="1" applyAlignment="1">
      <alignment horizontal="center" vertical="center"/>
    </xf>
    <xf numFmtId="0" fontId="26" fillId="0" borderId="19" xfId="0" applyFont="1" applyBorder="1" applyAlignment="1">
      <alignment vertical="top" wrapText="1"/>
    </xf>
    <xf numFmtId="0" fontId="5" fillId="9" borderId="52" xfId="0" applyFont="1" applyFill="1" applyBorder="1" applyAlignment="1">
      <alignment horizontal="center" vertical="center" wrapText="1"/>
    </xf>
    <xf numFmtId="177" fontId="11" fillId="11" borderId="21" xfId="0" applyNumberFormat="1" applyFont="1" applyFill="1" applyBorder="1" applyAlignment="1">
      <alignment horizontal="center" vertical="center"/>
    </xf>
    <xf numFmtId="182" fontId="45" fillId="0" borderId="0" xfId="0" applyNumberFormat="1" applyFont="1" applyAlignment="1">
      <alignment horizontal="center" vertical="center"/>
    </xf>
    <xf numFmtId="182" fontId="45" fillId="0" borderId="0" xfId="2" applyNumberFormat="1" applyFont="1" applyFill="1" applyBorder="1" applyAlignment="1">
      <alignment horizontal="center" vertical="center"/>
    </xf>
    <xf numFmtId="2" fontId="45" fillId="0" borderId="0" xfId="0" applyNumberFormat="1" applyFont="1" applyAlignment="1">
      <alignment horizontal="center" vertical="center"/>
    </xf>
    <xf numFmtId="182" fontId="45" fillId="8" borderId="12" xfId="2" applyNumberFormat="1" applyFont="1" applyFill="1" applyBorder="1" applyAlignment="1">
      <alignment horizontal="center" vertical="center"/>
    </xf>
    <xf numFmtId="2" fontId="45" fillId="8" borderId="12" xfId="0" applyNumberFormat="1" applyFont="1" applyFill="1" applyBorder="1" applyAlignment="1">
      <alignment horizontal="center" vertical="center"/>
    </xf>
    <xf numFmtId="0" fontId="26" fillId="0" borderId="2" xfId="0" applyFont="1" applyBorder="1" applyAlignment="1">
      <alignment horizontal="left" vertical="top"/>
    </xf>
    <xf numFmtId="182" fontId="42" fillId="0" borderId="12" xfId="0" applyNumberFormat="1" applyFont="1" applyBorder="1" applyAlignment="1">
      <alignment horizontal="center" vertical="center"/>
    </xf>
    <xf numFmtId="2" fontId="42" fillId="0" borderId="12" xfId="0" applyNumberFormat="1" applyFont="1" applyBorder="1" applyAlignment="1">
      <alignment horizontal="center" vertical="center"/>
    </xf>
    <xf numFmtId="0" fontId="26" fillId="0" borderId="50" xfId="0" applyFont="1" applyBorder="1" applyAlignment="1">
      <alignment vertical="top" wrapText="1"/>
    </xf>
    <xf numFmtId="0" fontId="27" fillId="5" borderId="41" xfId="0" quotePrefix="1" applyFont="1" applyFill="1" applyBorder="1" applyAlignment="1">
      <alignment horizontal="center" vertical="center"/>
    </xf>
    <xf numFmtId="0" fontId="26" fillId="0" borderId="41" xfId="0" applyFont="1" applyBorder="1" applyAlignment="1">
      <alignment horizontal="center" vertical="top"/>
    </xf>
    <xf numFmtId="0" fontId="33" fillId="0" borderId="43" xfId="0" applyFont="1" applyBorder="1" applyAlignment="1">
      <alignment vertical="top"/>
    </xf>
    <xf numFmtId="0" fontId="26" fillId="0" borderId="38" xfId="0" applyFont="1" applyBorder="1" applyAlignment="1">
      <alignment vertical="center"/>
    </xf>
    <xf numFmtId="0" fontId="26" fillId="0" borderId="35" xfId="0" applyFont="1" applyBorder="1" applyAlignment="1">
      <alignment vertical="center"/>
    </xf>
    <xf numFmtId="0" fontId="26" fillId="0" borderId="60" xfId="0" applyFont="1" applyBorder="1" applyAlignment="1">
      <alignment vertical="center"/>
    </xf>
    <xf numFmtId="0" fontId="31" fillId="0" borderId="36" xfId="0" applyFont="1" applyBorder="1" applyAlignment="1">
      <alignment vertical="center"/>
    </xf>
    <xf numFmtId="0" fontId="26" fillId="0" borderId="59" xfId="0" applyFont="1" applyBorder="1" applyAlignment="1">
      <alignment horizontal="left" vertical="center" wrapText="1"/>
    </xf>
    <xf numFmtId="0" fontId="26" fillId="0" borderId="17" xfId="0" applyFont="1" applyBorder="1" applyAlignment="1">
      <alignment vertical="top" wrapText="1"/>
    </xf>
    <xf numFmtId="0" fontId="26" fillId="0" borderId="38" xfId="0" applyFont="1" applyBorder="1" applyAlignment="1">
      <alignment vertical="top" wrapText="1"/>
    </xf>
    <xf numFmtId="0" fontId="27" fillId="5" borderId="39" xfId="0" quotePrefix="1" applyFont="1" applyFill="1" applyBorder="1" applyAlignment="1">
      <alignment horizontal="center" vertical="center"/>
    </xf>
    <xf numFmtId="0" fontId="26" fillId="0" borderId="39" xfId="0" applyFont="1" applyBorder="1" applyAlignment="1">
      <alignment horizontal="center" vertical="top"/>
    </xf>
    <xf numFmtId="1" fontId="27" fillId="5" borderId="41" xfId="0" quotePrefix="1" applyNumberFormat="1" applyFont="1" applyFill="1" applyBorder="1" applyAlignment="1">
      <alignment horizontal="center" vertical="center"/>
    </xf>
    <xf numFmtId="0" fontId="26" fillId="0" borderId="2" xfId="0" applyFont="1" applyBorder="1" applyAlignment="1">
      <alignment vertical="center" wrapText="1"/>
    </xf>
    <xf numFmtId="0" fontId="5" fillId="0" borderId="32" xfId="0" applyFont="1" applyBorder="1" applyAlignment="1">
      <alignment vertical="top"/>
    </xf>
    <xf numFmtId="0" fontId="5" fillId="0" borderId="33" xfId="0" applyFont="1" applyBorder="1" applyAlignment="1">
      <alignment vertical="top"/>
    </xf>
    <xf numFmtId="0" fontId="5" fillId="0" borderId="0" xfId="0" applyFont="1" applyAlignment="1">
      <alignment horizontal="center" vertical="top" wrapText="1"/>
    </xf>
    <xf numFmtId="0" fontId="7" fillId="0" borderId="22" xfId="0" applyFont="1" applyBorder="1" applyAlignment="1">
      <alignment vertical="center" wrapText="1"/>
    </xf>
    <xf numFmtId="0" fontId="7" fillId="0" borderId="23" xfId="0" applyFont="1" applyBorder="1" applyAlignment="1">
      <alignment vertical="center" wrapText="1"/>
    </xf>
    <xf numFmtId="0" fontId="4" fillId="0" borderId="23" xfId="0" applyFont="1" applyBorder="1" applyAlignment="1">
      <alignment vertical="center" wrapText="1"/>
    </xf>
    <xf numFmtId="0" fontId="7" fillId="0" borderId="24" xfId="0" applyFont="1" applyBorder="1" applyAlignment="1">
      <alignment vertical="center" wrapText="1"/>
    </xf>
    <xf numFmtId="0" fontId="7" fillId="9" borderId="50" xfId="0" applyFont="1" applyFill="1" applyBorder="1" applyAlignment="1">
      <alignment vertical="center"/>
    </xf>
    <xf numFmtId="177" fontId="7" fillId="9" borderId="41" xfId="0" applyNumberFormat="1" applyFont="1" applyFill="1" applyBorder="1" applyAlignment="1">
      <alignment horizontal="center" vertical="center"/>
    </xf>
    <xf numFmtId="177" fontId="7" fillId="9" borderId="28" xfId="0" applyNumberFormat="1" applyFont="1" applyFill="1" applyBorder="1" applyAlignment="1">
      <alignment horizontal="center" vertical="center"/>
    </xf>
    <xf numFmtId="0" fontId="7" fillId="9" borderId="43" xfId="0" applyFont="1" applyFill="1" applyBorder="1" applyAlignment="1">
      <alignment horizontal="center" vertical="center"/>
    </xf>
    <xf numFmtId="0" fontId="6" fillId="4" borderId="61" xfId="0" applyFont="1" applyFill="1" applyBorder="1" applyAlignment="1">
      <alignment horizontal="centerContinuous" vertical="center" wrapText="1"/>
    </xf>
    <xf numFmtId="0" fontId="6" fillId="4" borderId="54" xfId="0" applyFont="1" applyFill="1" applyBorder="1" applyAlignment="1">
      <alignment horizontal="center" vertical="center" wrapText="1"/>
    </xf>
    <xf numFmtId="0" fontId="6" fillId="4" borderId="62" xfId="0" applyFont="1" applyFill="1" applyBorder="1" applyAlignment="1">
      <alignment horizontal="center" vertical="center" wrapText="1"/>
    </xf>
    <xf numFmtId="0" fontId="6" fillId="4" borderId="57" xfId="0" applyFont="1" applyFill="1" applyBorder="1" applyAlignment="1">
      <alignment horizontal="centerContinuous" vertical="center" wrapText="1"/>
    </xf>
    <xf numFmtId="0" fontId="5" fillId="0" borderId="0" xfId="0" applyFont="1" applyAlignment="1">
      <alignment horizontal="left" vertical="center" wrapText="1"/>
    </xf>
    <xf numFmtId="0" fontId="5" fillId="0" borderId="0" xfId="0" applyFont="1" applyAlignment="1">
      <alignment horizontal="left" wrapText="1"/>
    </xf>
    <xf numFmtId="0" fontId="43" fillId="0" borderId="0" xfId="0" applyFont="1" applyAlignment="1">
      <alignment horizontal="left" wrapText="1"/>
    </xf>
    <xf numFmtId="0" fontId="43" fillId="0" borderId="0" xfId="0" applyFont="1" applyAlignment="1">
      <alignment horizontal="left" vertical="top" wrapText="1" indent="1"/>
    </xf>
    <xf numFmtId="0" fontId="53" fillId="5" borderId="12" xfId="0" applyFont="1" applyFill="1" applyBorder="1" applyAlignment="1">
      <alignment horizontal="center" vertical="center"/>
    </xf>
    <xf numFmtId="0" fontId="53" fillId="26" borderId="12" xfId="0" applyFont="1" applyFill="1" applyBorder="1" applyAlignment="1">
      <alignment horizontal="center" vertical="center"/>
    </xf>
    <xf numFmtId="177" fontId="7" fillId="24" borderId="12" xfId="0" applyNumberFormat="1" applyFont="1" applyFill="1" applyBorder="1" applyAlignment="1">
      <alignment horizontal="center" vertical="center"/>
    </xf>
    <xf numFmtId="177" fontId="7" fillId="24" borderId="20" xfId="0" applyNumberFormat="1" applyFont="1" applyFill="1" applyBorder="1" applyAlignment="1">
      <alignment horizontal="center" vertical="center"/>
    </xf>
    <xf numFmtId="0" fontId="43" fillId="0" borderId="27" xfId="0" applyFont="1" applyBorder="1" applyAlignment="1">
      <alignment horizontal="center" vertical="center" wrapText="1"/>
    </xf>
    <xf numFmtId="0" fontId="43" fillId="0" borderId="0" xfId="0" applyFont="1" applyAlignment="1">
      <alignment horizontal="center" vertical="center" wrapText="1"/>
    </xf>
    <xf numFmtId="0" fontId="43" fillId="0" borderId="28" xfId="0" applyFont="1" applyBorder="1" applyAlignment="1">
      <alignment horizontal="center" vertical="center" wrapText="1"/>
    </xf>
    <xf numFmtId="0" fontId="43" fillId="0" borderId="40" xfId="0" applyFont="1" applyBorder="1" applyAlignment="1">
      <alignment horizontal="center" vertical="center" wrapText="1"/>
    </xf>
    <xf numFmtId="0" fontId="56" fillId="0" borderId="0" xfId="0" applyFont="1" applyAlignment="1">
      <alignment horizontal="center" vertical="center" wrapText="1"/>
    </xf>
    <xf numFmtId="0" fontId="26" fillId="0" borderId="12" xfId="0" applyFont="1" applyBorder="1" applyAlignment="1">
      <alignment vertical="center" wrapText="1"/>
    </xf>
    <xf numFmtId="0" fontId="31" fillId="0" borderId="12" xfId="0" applyFont="1" applyBorder="1" applyAlignment="1">
      <alignment vertical="center" wrapText="1"/>
    </xf>
    <xf numFmtId="0" fontId="31" fillId="0" borderId="14" xfId="0" applyFont="1" applyBorder="1" applyAlignment="1">
      <alignment horizontal="center" vertical="center"/>
    </xf>
    <xf numFmtId="0" fontId="31" fillId="0" borderId="44" xfId="0" applyFont="1" applyBorder="1" applyAlignment="1">
      <alignment horizontal="center" vertical="center"/>
    </xf>
    <xf numFmtId="0" fontId="31" fillId="0" borderId="41" xfId="0" applyFont="1" applyBorder="1" applyAlignment="1">
      <alignment horizontal="center" vertical="center"/>
    </xf>
    <xf numFmtId="0" fontId="26" fillId="0" borderId="14" xfId="0" applyFont="1" applyBorder="1" applyAlignment="1">
      <alignment horizontal="left" vertical="center" wrapText="1"/>
    </xf>
    <xf numFmtId="0" fontId="26" fillId="0" borderId="44" xfId="0" applyFont="1" applyBorder="1" applyAlignment="1">
      <alignment horizontal="left" vertical="center" wrapText="1"/>
    </xf>
    <xf numFmtId="0" fontId="26" fillId="0" borderId="41" xfId="0" applyFont="1" applyBorder="1" applyAlignment="1">
      <alignment horizontal="left" vertical="center" wrapText="1"/>
    </xf>
    <xf numFmtId="0" fontId="26" fillId="0" borderId="12" xfId="0" applyFont="1" applyBorder="1" applyAlignment="1">
      <alignment horizontal="center" vertical="center"/>
    </xf>
    <xf numFmtId="0" fontId="26" fillId="0" borderId="12" xfId="0" applyFont="1" applyBorder="1" applyAlignment="1">
      <alignment horizontal="left" vertical="center" wrapText="1"/>
    </xf>
    <xf numFmtId="0" fontId="4" fillId="0" borderId="12" xfId="0" applyFont="1" applyBorder="1" applyAlignment="1">
      <alignment horizontal="center" vertical="center"/>
    </xf>
    <xf numFmtId="0" fontId="26" fillId="0" borderId="14" xfId="0" applyFont="1" applyBorder="1" applyAlignment="1">
      <alignment horizontal="center" vertical="center"/>
    </xf>
    <xf numFmtId="0" fontId="26" fillId="0" borderId="44" xfId="0" applyFont="1" applyBorder="1" applyAlignment="1">
      <alignment horizontal="center" vertical="center"/>
    </xf>
    <xf numFmtId="0" fontId="26" fillId="0" borderId="41" xfId="0" applyFont="1" applyBorder="1" applyAlignment="1">
      <alignment horizontal="center" vertical="center"/>
    </xf>
    <xf numFmtId="0" fontId="26" fillId="0" borderId="12" xfId="0" applyFont="1" applyBorder="1" applyAlignment="1">
      <alignment horizontal="left" vertical="center"/>
    </xf>
    <xf numFmtId="0" fontId="31" fillId="0" borderId="14" xfId="0" applyFont="1" applyBorder="1" applyAlignment="1">
      <alignment horizontal="left" vertical="center"/>
    </xf>
    <xf numFmtId="0" fontId="31" fillId="0" borderId="44" xfId="0" applyFont="1" applyBorder="1" applyAlignment="1">
      <alignment horizontal="left" vertical="center"/>
    </xf>
    <xf numFmtId="0" fontId="31" fillId="0" borderId="41" xfId="0" applyFont="1" applyBorder="1" applyAlignment="1">
      <alignment horizontal="left" vertical="center"/>
    </xf>
    <xf numFmtId="0" fontId="26" fillId="0" borderId="14" xfId="0" applyFont="1" applyBorder="1" applyAlignment="1">
      <alignment horizontal="left" vertical="center"/>
    </xf>
    <xf numFmtId="0" fontId="26" fillId="0" borderId="44" xfId="0" applyFont="1" applyBorder="1" applyAlignment="1">
      <alignment horizontal="left" vertical="center"/>
    </xf>
    <xf numFmtId="0" fontId="26" fillId="0" borderId="41" xfId="0" applyFont="1" applyBorder="1" applyAlignment="1">
      <alignment horizontal="left" vertical="center"/>
    </xf>
    <xf numFmtId="0" fontId="26" fillId="0" borderId="14" xfId="0" applyFont="1" applyBorder="1" applyAlignment="1">
      <alignment vertical="center"/>
    </xf>
    <xf numFmtId="0" fontId="26" fillId="0" borderId="44" xfId="0" applyFont="1" applyBorder="1" applyAlignment="1">
      <alignment vertical="center"/>
    </xf>
    <xf numFmtId="0" fontId="26" fillId="0" borderId="41" xfId="0" applyFont="1" applyBorder="1" applyAlignment="1">
      <alignment vertical="center"/>
    </xf>
    <xf numFmtId="0" fontId="7" fillId="20" borderId="31" xfId="0" applyFont="1" applyFill="1" applyBorder="1" applyAlignment="1">
      <alignment vertical="center"/>
    </xf>
    <xf numFmtId="0" fontId="0" fillId="20" borderId="34" xfId="0" applyFill="1" applyBorder="1" applyAlignment="1">
      <alignment vertical="center"/>
    </xf>
    <xf numFmtId="0" fontId="0" fillId="20" borderId="20" xfId="0" applyFill="1" applyBorder="1" applyAlignment="1">
      <alignment vertical="center"/>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26" fillId="0" borderId="31" xfId="0" applyFont="1" applyBorder="1" applyAlignment="1">
      <alignment vertical="center" wrapText="1"/>
    </xf>
    <xf numFmtId="0" fontId="26" fillId="0" borderId="20" xfId="0" applyFont="1" applyBorder="1" applyAlignment="1">
      <alignment vertical="center" wrapText="1"/>
    </xf>
    <xf numFmtId="0" fontId="26" fillId="0" borderId="27" xfId="0" applyFont="1" applyBorder="1" applyAlignment="1">
      <alignment horizontal="left" vertical="center" wrapText="1"/>
    </xf>
    <xf numFmtId="0" fontId="26" fillId="0" borderId="32" xfId="0" applyFont="1" applyBorder="1" applyAlignment="1">
      <alignment horizontal="left" vertical="center" wrapText="1"/>
    </xf>
    <xf numFmtId="0" fontId="26" fillId="0" borderId="28" xfId="0" applyFont="1" applyBorder="1" applyAlignment="1">
      <alignment horizontal="left" vertical="center" wrapText="1"/>
    </xf>
    <xf numFmtId="0" fontId="24" fillId="0" borderId="0" xfId="0" applyFont="1" applyAlignment="1">
      <alignment horizontal="center"/>
    </xf>
    <xf numFmtId="0" fontId="21" fillId="0" borderId="0" xfId="0" applyFont="1" applyAlignment="1">
      <alignment horizontal="center"/>
    </xf>
    <xf numFmtId="0" fontId="5" fillId="0" borderId="0" xfId="0" applyFont="1" applyAlignment="1">
      <alignment vertical="top"/>
    </xf>
    <xf numFmtId="0" fontId="5" fillId="0" borderId="12" xfId="0" applyFont="1" applyBorder="1" applyAlignment="1">
      <alignment horizontal="center" vertical="top"/>
    </xf>
    <xf numFmtId="0" fontId="5" fillId="0" borderId="12" xfId="0" applyFont="1" applyBorder="1" applyAlignment="1">
      <alignment horizontal="center" vertical="center" wrapText="1"/>
    </xf>
    <xf numFmtId="0" fontId="5" fillId="0" borderId="27" xfId="0" applyFont="1" applyBorder="1" applyAlignment="1">
      <alignment vertical="top"/>
    </xf>
    <xf numFmtId="0" fontId="5" fillId="0" borderId="30" xfId="0" applyFont="1" applyBorder="1" applyAlignment="1">
      <alignment vertical="top"/>
    </xf>
    <xf numFmtId="0" fontId="5" fillId="0" borderId="28" xfId="0" applyFont="1" applyBorder="1" applyAlignment="1">
      <alignment vertical="top"/>
    </xf>
    <xf numFmtId="0" fontId="5" fillId="0" borderId="29" xfId="0" applyFont="1" applyBorder="1" applyAlignment="1">
      <alignment vertical="top"/>
    </xf>
    <xf numFmtId="177" fontId="42" fillId="10" borderId="25" xfId="0" applyNumberFormat="1" applyFont="1" applyFill="1" applyBorder="1" applyAlignment="1">
      <alignment horizontal="center" vertical="center" wrapText="1"/>
    </xf>
    <xf numFmtId="0" fontId="0" fillId="0" borderId="26" xfId="0" applyBorder="1" applyAlignment="1">
      <alignment wrapText="1"/>
    </xf>
    <xf numFmtId="0" fontId="46" fillId="0" borderId="25" xfId="0" applyFont="1" applyBorder="1" applyAlignment="1">
      <alignment horizontal="center" vertical="center"/>
    </xf>
    <xf numFmtId="0" fontId="46" fillId="0" borderId="42" xfId="0" applyFont="1" applyBorder="1" applyAlignment="1">
      <alignment horizontal="center" vertical="center"/>
    </xf>
    <xf numFmtId="0" fontId="46" fillId="0" borderId="26" xfId="0" applyFont="1" applyBorder="1" applyAlignment="1">
      <alignment horizontal="center" vertical="center"/>
    </xf>
    <xf numFmtId="0" fontId="11" fillId="0" borderId="42" xfId="0" applyFont="1" applyBorder="1" applyAlignment="1">
      <alignment horizontal="center" vertical="center"/>
    </xf>
    <xf numFmtId="0" fontId="11" fillId="0" borderId="26" xfId="0" applyFont="1" applyBorder="1" applyAlignment="1">
      <alignment horizontal="center" vertical="center"/>
    </xf>
    <xf numFmtId="0" fontId="26" fillId="0" borderId="11" xfId="0" applyFont="1" applyBorder="1" applyAlignment="1">
      <alignment vertical="top" wrapText="1"/>
    </xf>
    <xf numFmtId="0" fontId="0" fillId="0" borderId="43" xfId="0" applyBorder="1" applyAlignment="1">
      <alignment vertical="top" wrapText="1"/>
    </xf>
    <xf numFmtId="0" fontId="42" fillId="0" borderId="0" xfId="0" applyFont="1" applyAlignment="1">
      <alignment horizontal="center" vertical="center" wrapText="1"/>
    </xf>
    <xf numFmtId="177" fontId="42" fillId="0" borderId="0" xfId="0" applyNumberFormat="1" applyFont="1" applyAlignment="1">
      <alignment horizontal="center" vertical="center"/>
    </xf>
    <xf numFmtId="0" fontId="5" fillId="0" borderId="0" xfId="0" applyFont="1" applyAlignment="1">
      <alignment horizontal="center"/>
    </xf>
    <xf numFmtId="0" fontId="5" fillId="0" borderId="31" xfId="0" applyFont="1" applyBorder="1" applyAlignment="1">
      <alignment horizontal="center" vertical="top"/>
    </xf>
    <xf numFmtId="0" fontId="5" fillId="0" borderId="34" xfId="0" applyFont="1" applyBorder="1" applyAlignment="1">
      <alignment horizontal="center" vertical="top"/>
    </xf>
    <xf numFmtId="0" fontId="45" fillId="8" borderId="25" xfId="0" applyFont="1" applyFill="1" applyBorder="1" applyAlignment="1">
      <alignment horizontal="center" vertical="center"/>
    </xf>
    <xf numFmtId="0" fontId="45" fillId="8" borderId="42" xfId="0" applyFont="1" applyFill="1" applyBorder="1" applyAlignment="1">
      <alignment horizontal="center" vertical="center"/>
    </xf>
    <xf numFmtId="0" fontId="45" fillId="8" borderId="26" xfId="0" applyFont="1" applyFill="1" applyBorder="1" applyAlignment="1">
      <alignment horizontal="center" vertical="center"/>
    </xf>
    <xf numFmtId="177" fontId="42" fillId="10" borderId="25" xfId="0" applyNumberFormat="1" applyFont="1" applyFill="1" applyBorder="1" applyAlignment="1">
      <alignment horizontal="center" vertical="center"/>
    </xf>
    <xf numFmtId="177" fontId="42" fillId="10" borderId="42" xfId="0" applyNumberFormat="1" applyFont="1" applyFill="1" applyBorder="1" applyAlignment="1">
      <alignment horizontal="center" vertical="center"/>
    </xf>
    <xf numFmtId="177" fontId="42" fillId="10" borderId="26" xfId="0" applyNumberFormat="1" applyFont="1" applyFill="1" applyBorder="1" applyAlignment="1">
      <alignment horizontal="center" vertical="center"/>
    </xf>
    <xf numFmtId="0" fontId="42" fillId="23" borderId="3" xfId="0" applyFont="1" applyFill="1" applyBorder="1" applyAlignment="1">
      <alignment horizontal="center" vertical="center" wrapText="1"/>
    </xf>
    <xf numFmtId="0" fontId="42" fillId="23" borderId="4" xfId="0" applyFont="1" applyFill="1" applyBorder="1" applyAlignment="1">
      <alignment horizontal="center" vertical="center" wrapText="1"/>
    </xf>
    <xf numFmtId="0" fontId="42" fillId="23" borderId="5" xfId="0" applyFont="1" applyFill="1" applyBorder="1" applyAlignment="1">
      <alignment horizontal="center" vertical="center" wrapText="1"/>
    </xf>
    <xf numFmtId="0" fontId="27" fillId="0" borderId="0" xfId="0" applyFont="1" applyAlignment="1">
      <alignment horizontal="center" vertical="top" wrapText="1"/>
    </xf>
    <xf numFmtId="0" fontId="4"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horizontal="center" wrapText="1"/>
    </xf>
    <xf numFmtId="0" fontId="11" fillId="0" borderId="4" xfId="0" applyFont="1" applyBorder="1" applyAlignment="1">
      <alignment horizontal="center" vertical="center"/>
    </xf>
    <xf numFmtId="0" fontId="22" fillId="0" borderId="4" xfId="0" applyFont="1" applyBorder="1" applyAlignment="1">
      <alignment horizontal="center" vertical="center"/>
    </xf>
    <xf numFmtId="0" fontId="35" fillId="0" borderId="10" xfId="0" applyFont="1" applyBorder="1" applyAlignment="1">
      <alignment horizontal="left" vertical="top" wrapText="1"/>
    </xf>
    <xf numFmtId="0" fontId="0" fillId="0" borderId="10" xfId="0" applyBorder="1" applyAlignment="1">
      <alignment horizontal="left" vertical="top" wrapText="1"/>
    </xf>
    <xf numFmtId="0" fontId="58" fillId="0" borderId="40" xfId="0" applyFont="1" applyBorder="1" applyAlignment="1">
      <alignment horizontal="center"/>
    </xf>
    <xf numFmtId="0" fontId="4" fillId="0" borderId="14" xfId="0" applyFont="1" applyBorder="1" applyAlignment="1">
      <alignment horizontal="center" vertical="center" wrapText="1"/>
    </xf>
    <xf numFmtId="0" fontId="4" fillId="0" borderId="44" xfId="0" applyFont="1" applyBorder="1" applyAlignment="1">
      <alignment horizontal="center" vertical="center" wrapText="1"/>
    </xf>
    <xf numFmtId="0" fontId="4" fillId="0" borderId="54" xfId="0" applyFont="1" applyBorder="1" applyAlignment="1">
      <alignment horizontal="center" vertical="center" wrapText="1"/>
    </xf>
    <xf numFmtId="0" fontId="36" fillId="0" borderId="14" xfId="0" applyFont="1" applyBorder="1" applyAlignment="1">
      <alignment horizontal="center" vertical="center" wrapText="1"/>
    </xf>
    <xf numFmtId="0" fontId="36" fillId="0" borderId="44" xfId="0" applyFont="1" applyBorder="1" applyAlignment="1">
      <alignment horizontal="center" vertical="center" wrapText="1"/>
    </xf>
    <xf numFmtId="0" fontId="36" fillId="0" borderId="31" xfId="0" applyFont="1" applyBorder="1" applyAlignment="1">
      <alignment horizontal="center" vertical="center" wrapText="1"/>
    </xf>
    <xf numFmtId="0" fontId="36" fillId="0" borderId="34" xfId="0" applyFont="1" applyBorder="1" applyAlignment="1">
      <alignment horizontal="center" vertical="center" wrapText="1"/>
    </xf>
    <xf numFmtId="0" fontId="36" fillId="0" borderId="20" xfId="0" applyFont="1" applyBorder="1" applyAlignment="1">
      <alignment horizontal="center" vertical="center" wrapText="1"/>
    </xf>
    <xf numFmtId="0" fontId="27" fillId="14" borderId="34" xfId="0" applyFont="1" applyFill="1" applyBorder="1" applyAlignment="1">
      <alignment vertical="center"/>
    </xf>
    <xf numFmtId="0" fontId="0" fillId="0" borderId="20" xfId="0" applyBorder="1"/>
    <xf numFmtId="0" fontId="57" fillId="0" borderId="10" xfId="0" applyFont="1" applyBorder="1" applyAlignment="1">
      <alignment horizontal="center"/>
    </xf>
    <xf numFmtId="0" fontId="36" fillId="0" borderId="25" xfId="0" applyFont="1" applyBorder="1" applyAlignment="1">
      <alignment horizontal="left" vertical="center"/>
    </xf>
    <xf numFmtId="0" fontId="36" fillId="0" borderId="26" xfId="0" applyFont="1" applyBorder="1" applyAlignment="1">
      <alignment horizontal="left" vertical="center"/>
    </xf>
    <xf numFmtId="0" fontId="4" fillId="0" borderId="25" xfId="0" applyFont="1" applyBorder="1" applyAlignment="1">
      <alignment horizontal="left" vertical="center"/>
    </xf>
    <xf numFmtId="0" fontId="4" fillId="0" borderId="26" xfId="0" applyFont="1" applyBorder="1" applyAlignment="1">
      <alignment horizontal="left" vertical="center"/>
    </xf>
    <xf numFmtId="177" fontId="51" fillId="34" borderId="25" xfId="0" applyNumberFormat="1" applyFont="1" applyFill="1" applyBorder="1" applyAlignment="1">
      <alignment vertical="center"/>
    </xf>
    <xf numFmtId="177" fontId="51" fillId="34" borderId="42" xfId="0" applyNumberFormat="1" applyFont="1" applyFill="1" applyBorder="1" applyAlignment="1">
      <alignment vertical="center"/>
    </xf>
    <xf numFmtId="177" fontId="51" fillId="33" borderId="25" xfId="0" applyNumberFormat="1" applyFont="1" applyFill="1" applyBorder="1" applyAlignment="1">
      <alignment vertical="center"/>
    </xf>
    <xf numFmtId="177" fontId="51" fillId="33" borderId="56" xfId="0" applyNumberFormat="1" applyFont="1" applyFill="1" applyBorder="1" applyAlignment="1">
      <alignment vertical="center"/>
    </xf>
    <xf numFmtId="177" fontId="51" fillId="33" borderId="8" xfId="0" applyNumberFormat="1" applyFont="1" applyFill="1" applyBorder="1" applyAlignment="1">
      <alignment vertical="center"/>
    </xf>
    <xf numFmtId="177" fontId="51" fillId="33" borderId="53" xfId="0" applyNumberFormat="1" applyFont="1" applyFill="1" applyBorder="1" applyAlignment="1">
      <alignment vertical="center"/>
    </xf>
    <xf numFmtId="0" fontId="5" fillId="0" borderId="25" xfId="0" applyFont="1" applyBorder="1" applyAlignment="1">
      <alignment horizontal="center"/>
    </xf>
    <xf numFmtId="0" fontId="5" fillId="0" borderId="42" xfId="0" applyFont="1" applyBorder="1" applyAlignment="1">
      <alignment horizontal="center"/>
    </xf>
    <xf numFmtId="0" fontId="5" fillId="0" borderId="26" xfId="0" applyFont="1" applyBorder="1" applyAlignment="1">
      <alignment horizontal="center"/>
    </xf>
    <xf numFmtId="0" fontId="27" fillId="16" borderId="35" xfId="0" applyFont="1" applyFill="1" applyBorder="1" applyAlignment="1">
      <alignment horizontal="center" vertical="center"/>
    </xf>
    <xf numFmtId="0" fontId="27" fillId="16" borderId="20" xfId="0" applyFont="1" applyFill="1" applyBorder="1" applyAlignment="1">
      <alignment horizontal="center" vertical="center"/>
    </xf>
    <xf numFmtId="0" fontId="25" fillId="15" borderId="35" xfId="0" applyFont="1" applyFill="1" applyBorder="1" applyAlignment="1">
      <alignment horizontal="center" vertical="center"/>
    </xf>
    <xf numFmtId="0" fontId="25" fillId="15" borderId="20" xfId="0" applyFont="1" applyFill="1" applyBorder="1" applyAlignment="1">
      <alignment horizontal="center" vertical="center"/>
    </xf>
    <xf numFmtId="0" fontId="5" fillId="0" borderId="31" xfId="0" applyFont="1" applyBorder="1" applyAlignment="1">
      <alignment horizontal="center"/>
    </xf>
    <xf numFmtId="0" fontId="5" fillId="0" borderId="34" xfId="0" applyFont="1" applyBorder="1" applyAlignment="1">
      <alignment horizontal="center"/>
    </xf>
    <xf numFmtId="0" fontId="5" fillId="0" borderId="20" xfId="0" applyFont="1" applyBorder="1" applyAlignment="1">
      <alignment horizontal="center"/>
    </xf>
    <xf numFmtId="0" fontId="4" fillId="0" borderId="42" xfId="0" applyFont="1" applyBorder="1" applyAlignment="1">
      <alignment horizontal="left" vertical="center"/>
    </xf>
  </cellXfs>
  <cellStyles count="3">
    <cellStyle name="百分比" xfId="2" builtinId="5"/>
    <cellStyle name="常规" xfId="0" builtinId="0"/>
    <cellStyle name="千位分隔" xfId="1" builtinId="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66"/>
      <color rgb="FF006600"/>
      <color rgb="FF008080"/>
      <color rgb="FF66FFFF"/>
      <color rgb="FFFF0000"/>
      <color rgb="FFE1FFE1"/>
      <color rgb="FFCCFFCC"/>
      <color rgb="FF99FF99"/>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overlay val="0"/>
      <c:spPr>
        <a:noFill/>
        <a:ln w="25400">
          <a:noFill/>
        </a:ln>
      </c:spPr>
    </c:title>
    <c:autoTitleDeleted val="0"/>
    <c:plotArea>
      <c:layout>
        <c:manualLayout>
          <c:layoutTarget val="inner"/>
          <c:xMode val="edge"/>
          <c:yMode val="edge"/>
          <c:x val="0.17278635932686937"/>
          <c:y val="0.19076951738208742"/>
          <c:w val="0.35853169560324982"/>
          <c:h val="0.74461650333009077"/>
        </c:manualLayout>
      </c:layout>
      <c:barChart>
        <c:barDir val="col"/>
        <c:grouping val="stacked"/>
        <c:varyColors val="0"/>
        <c:ser>
          <c:idx val="1"/>
          <c:order val="0"/>
          <c:tx>
            <c:strRef>
              <c:f>Summary!$J$11</c:f>
              <c:strCache>
                <c:ptCount val="1"/>
                <c:pt idx="0">
                  <c:v>VDD Activate Power</c:v>
                </c:pt>
              </c:strCache>
            </c:strRef>
          </c:tx>
          <c:spPr>
            <a:solidFill>
              <a:srgbClr val="EE3424"/>
            </a:solidFill>
            <a:ln w="12700">
              <a:noFill/>
              <a:prstDash val="solid"/>
            </a:ln>
          </c:spPr>
          <c:invertIfNegative val="0"/>
          <c:val>
            <c:numRef>
              <c:f>Summary!$K$11</c:f>
              <c:numCache>
                <c:formatCode>0.0</c:formatCode>
                <c:ptCount val="1"/>
                <c:pt idx="0">
                  <c:v>0</c:v>
                </c:pt>
              </c:numCache>
            </c:numRef>
          </c:val>
          <c:extLst>
            <c:ext xmlns:c16="http://schemas.microsoft.com/office/drawing/2014/chart" uri="{C3380CC4-5D6E-409C-BE32-E72D297353CC}">
              <c16:uniqueId val="{00000000-B851-416C-A9AB-D71998C06C64}"/>
            </c:ext>
          </c:extLst>
        </c:ser>
        <c:ser>
          <c:idx val="2"/>
          <c:order val="1"/>
          <c:tx>
            <c:strRef>
              <c:f>Summary!$J$12</c:f>
              <c:strCache>
                <c:ptCount val="1"/>
                <c:pt idx="0">
                  <c:v>VPP Activate Power</c:v>
                </c:pt>
              </c:strCache>
            </c:strRef>
          </c:tx>
          <c:spPr>
            <a:solidFill>
              <a:schemeClr val="accent2">
                <a:lumMod val="60000"/>
                <a:lumOff val="40000"/>
              </a:schemeClr>
            </a:solidFill>
            <a:ln w="12700">
              <a:noFill/>
              <a:prstDash val="solid"/>
            </a:ln>
          </c:spPr>
          <c:invertIfNegative val="0"/>
          <c:val>
            <c:numRef>
              <c:f>Summary!$K$12</c:f>
              <c:numCache>
                <c:formatCode>0.0</c:formatCode>
                <c:ptCount val="1"/>
                <c:pt idx="0">
                  <c:v>0</c:v>
                </c:pt>
              </c:numCache>
            </c:numRef>
          </c:val>
          <c:extLst>
            <c:ext xmlns:c16="http://schemas.microsoft.com/office/drawing/2014/chart" uri="{C3380CC4-5D6E-409C-BE32-E72D297353CC}">
              <c16:uniqueId val="{00000001-B851-416C-A9AB-D71998C06C64}"/>
            </c:ext>
          </c:extLst>
        </c:ser>
        <c:ser>
          <c:idx val="0"/>
          <c:order val="2"/>
          <c:tx>
            <c:strRef>
              <c:f>Summary!$J$13</c:f>
              <c:strCache>
                <c:ptCount val="1"/>
                <c:pt idx="0">
                  <c:v>VDD RD/WR/Term Power</c:v>
                </c:pt>
              </c:strCache>
            </c:strRef>
          </c:tx>
          <c:spPr>
            <a:solidFill>
              <a:schemeClr val="accent6">
                <a:lumMod val="75000"/>
              </a:schemeClr>
            </a:solidFill>
            <a:ln w="12700">
              <a:noFill/>
              <a:prstDash val="solid"/>
            </a:ln>
          </c:spPr>
          <c:invertIfNegative val="0"/>
          <c:val>
            <c:numRef>
              <c:f>Summary!$K$13</c:f>
              <c:numCache>
                <c:formatCode>0.0</c:formatCode>
                <c:ptCount val="1"/>
                <c:pt idx="0">
                  <c:v>0</c:v>
                </c:pt>
              </c:numCache>
            </c:numRef>
          </c:val>
          <c:extLst>
            <c:ext xmlns:c16="http://schemas.microsoft.com/office/drawing/2014/chart" uri="{C3380CC4-5D6E-409C-BE32-E72D297353CC}">
              <c16:uniqueId val="{00000002-B851-416C-A9AB-D71998C06C64}"/>
            </c:ext>
          </c:extLst>
        </c:ser>
        <c:ser>
          <c:idx val="3"/>
          <c:order val="3"/>
          <c:tx>
            <c:strRef>
              <c:f>Summary!$J$14</c:f>
              <c:strCache>
                <c:ptCount val="1"/>
                <c:pt idx="0">
                  <c:v>VPP RD/WR/Term Power</c:v>
                </c:pt>
              </c:strCache>
            </c:strRef>
          </c:tx>
          <c:spPr>
            <a:solidFill>
              <a:schemeClr val="accent6">
                <a:lumMod val="60000"/>
                <a:lumOff val="40000"/>
              </a:schemeClr>
            </a:solidFill>
            <a:ln w="12700">
              <a:solidFill>
                <a:srgbClr val="000000"/>
              </a:solidFill>
            </a:ln>
          </c:spPr>
          <c:invertIfNegative val="0"/>
          <c:val>
            <c:numRef>
              <c:f>Summary!$K$14</c:f>
              <c:numCache>
                <c:formatCode>0.0</c:formatCode>
                <c:ptCount val="1"/>
                <c:pt idx="0">
                  <c:v>0</c:v>
                </c:pt>
              </c:numCache>
            </c:numRef>
          </c:val>
          <c:extLst>
            <c:ext xmlns:c16="http://schemas.microsoft.com/office/drawing/2014/chart" uri="{C3380CC4-5D6E-409C-BE32-E72D297353CC}">
              <c16:uniqueId val="{00000003-B851-416C-A9AB-D71998C06C64}"/>
            </c:ext>
          </c:extLst>
        </c:ser>
        <c:ser>
          <c:idx val="4"/>
          <c:order val="4"/>
          <c:tx>
            <c:strRef>
              <c:f>Summary!$J$15</c:f>
              <c:strCache>
                <c:ptCount val="1"/>
                <c:pt idx="0">
                  <c:v>VDD Background  Power</c:v>
                </c:pt>
              </c:strCache>
            </c:strRef>
          </c:tx>
          <c:spPr>
            <a:solidFill>
              <a:schemeClr val="tx2">
                <a:lumMod val="75000"/>
              </a:schemeClr>
            </a:solidFill>
            <a:ln w="12700" cmpd="sng">
              <a:noFill/>
            </a:ln>
          </c:spPr>
          <c:invertIfNegative val="0"/>
          <c:val>
            <c:numRef>
              <c:f>Summary!$K$15</c:f>
              <c:numCache>
                <c:formatCode>0.0</c:formatCode>
                <c:ptCount val="1"/>
                <c:pt idx="0">
                  <c:v>87.243488508795664</c:v>
                </c:pt>
              </c:numCache>
            </c:numRef>
          </c:val>
          <c:extLst>
            <c:ext xmlns:c16="http://schemas.microsoft.com/office/drawing/2014/chart" uri="{C3380CC4-5D6E-409C-BE32-E72D297353CC}">
              <c16:uniqueId val="{00000004-B851-416C-A9AB-D71998C06C64}"/>
            </c:ext>
          </c:extLst>
        </c:ser>
        <c:ser>
          <c:idx val="5"/>
          <c:order val="5"/>
          <c:tx>
            <c:strRef>
              <c:f>Summary!$J$16</c:f>
              <c:strCache>
                <c:ptCount val="1"/>
                <c:pt idx="0">
                  <c:v>VPP Background  Power</c:v>
                </c:pt>
              </c:strCache>
            </c:strRef>
          </c:tx>
          <c:spPr>
            <a:solidFill>
              <a:schemeClr val="tx2">
                <a:lumMod val="40000"/>
                <a:lumOff val="60000"/>
              </a:schemeClr>
            </a:solidFill>
            <a:ln w="12700">
              <a:noFill/>
            </a:ln>
          </c:spPr>
          <c:invertIfNegative val="0"/>
          <c:val>
            <c:numRef>
              <c:f>Summary!$K$16</c:f>
              <c:numCache>
                <c:formatCode>0.0</c:formatCode>
                <c:ptCount val="1"/>
                <c:pt idx="0">
                  <c:v>8.8585630654107028</c:v>
                </c:pt>
              </c:numCache>
            </c:numRef>
          </c:val>
          <c:extLst>
            <c:ext xmlns:c16="http://schemas.microsoft.com/office/drawing/2014/chart" uri="{C3380CC4-5D6E-409C-BE32-E72D297353CC}">
              <c16:uniqueId val="{00000005-B851-416C-A9AB-D71998C06C64}"/>
            </c:ext>
          </c:extLst>
        </c:ser>
        <c:dLbls>
          <c:showLegendKey val="0"/>
          <c:showVal val="0"/>
          <c:showCatName val="0"/>
          <c:showSerName val="0"/>
          <c:showPercent val="0"/>
          <c:showBubbleSize val="0"/>
        </c:dLbls>
        <c:gapWidth val="150"/>
        <c:overlap val="100"/>
        <c:axId val="92631808"/>
        <c:axId val="92734976"/>
      </c:barChart>
      <c:catAx>
        <c:axId val="92631808"/>
        <c:scaling>
          <c:orientation val="minMax"/>
        </c:scaling>
        <c:delete val="1"/>
        <c:axPos val="b"/>
        <c:numFmt formatCode="0.0" sourceLinked="1"/>
        <c:majorTickMark val="out"/>
        <c:minorTickMark val="none"/>
        <c:tickLblPos val="none"/>
        <c:crossAx val="92734976"/>
        <c:crosses val="autoZero"/>
        <c:auto val="1"/>
        <c:lblAlgn val="ctr"/>
        <c:lblOffset val="100"/>
        <c:noMultiLvlLbl val="0"/>
      </c:catAx>
      <c:valAx>
        <c:axId val="92734976"/>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920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zh-CN"/>
          </a:p>
        </c:txPr>
        <c:crossAx val="92631808"/>
        <c:crosses val="autoZero"/>
        <c:crossBetween val="between"/>
      </c:valAx>
      <c:spPr>
        <a:solidFill>
          <a:srgbClr val="E6E6E6"/>
        </a:solidFill>
        <a:ln w="3175">
          <a:solidFill>
            <a:srgbClr val="000000"/>
          </a:solidFill>
          <a:prstDash val="solid"/>
        </a:ln>
      </c:spPr>
    </c:plotArea>
    <c:legend>
      <c:legendPos val="r"/>
      <c:layout>
        <c:manualLayout>
          <c:xMode val="edge"/>
          <c:yMode val="edge"/>
          <c:x val="0.56011587104527705"/>
          <c:y val="0.20771141768838791"/>
          <c:w val="0.42825326099896288"/>
          <c:h val="0.47912384211026582"/>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zh-CN"/>
        </a:p>
      </c:txPr>
    </c:legend>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zh-CN"/>
    </a:p>
  </c:txPr>
  <c:printSettings>
    <c:headerFooter alignWithMargins="0"/>
    <c:pageMargins b="1" l="0.75000000000000766" r="0.75000000000000766"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5857166136019939"/>
          <c:y val="4.3543095419524155E-2"/>
        </c:manualLayout>
      </c:layout>
      <c:overlay val="0"/>
      <c:spPr>
        <a:noFill/>
        <a:ln w="25400">
          <a:noFill/>
        </a:ln>
      </c:spPr>
    </c:title>
    <c:autoTitleDeleted val="0"/>
    <c:plotArea>
      <c:layout>
        <c:manualLayout>
          <c:layoutTarget val="inner"/>
          <c:xMode val="edge"/>
          <c:yMode val="edge"/>
          <c:x val="5.5774608929897523E-2"/>
          <c:y val="1.8555160443654222E-2"/>
          <c:w val="0.8857101796983281"/>
          <c:h val="0.79751651003301949"/>
        </c:manualLayout>
      </c:layout>
      <c:barChart>
        <c:barDir val="col"/>
        <c:grouping val="stacked"/>
        <c:varyColors val="0"/>
        <c:ser>
          <c:idx val="0"/>
          <c:order val="0"/>
          <c:tx>
            <c:strRef>
              <c:f>Summary!$E$31</c:f>
              <c:strCache>
                <c:ptCount val="1"/>
                <c:pt idx="0">
                  <c:v>VDD</c:v>
                </c:pt>
              </c:strCache>
            </c:strRef>
          </c:tx>
          <c:spPr>
            <a:solidFill>
              <a:srgbClr val="0C2577"/>
            </a:solidFill>
            <a:ln w="12700">
              <a:solidFill>
                <a:srgbClr val="000000"/>
              </a:solidFill>
              <a:prstDash val="solid"/>
            </a:ln>
          </c:spPr>
          <c:invertIfNegative val="0"/>
          <c:dPt>
            <c:idx val="0"/>
            <c:invertIfNegative val="0"/>
            <c:bubble3D val="0"/>
            <c:spPr>
              <a:solidFill>
                <a:srgbClr val="EE3424"/>
              </a:solidFill>
              <a:ln w="12700">
                <a:solidFill>
                  <a:srgbClr val="000000"/>
                </a:solidFill>
                <a:prstDash val="solid"/>
              </a:ln>
            </c:spPr>
            <c:extLst>
              <c:ext xmlns:c16="http://schemas.microsoft.com/office/drawing/2014/chart" uri="{C3380CC4-5D6E-409C-BE32-E72D297353CC}">
                <c16:uniqueId val="{00000000-24AF-4B34-8945-B632AAAFC87F}"/>
              </c:ext>
            </c:extLst>
          </c:dPt>
          <c:dPt>
            <c:idx val="1"/>
            <c:invertIfNegative val="0"/>
            <c:bubble3D val="0"/>
            <c:spPr>
              <a:solidFill>
                <a:srgbClr val="F68933"/>
              </a:solidFill>
              <a:ln w="12700">
                <a:solidFill>
                  <a:srgbClr val="000000"/>
                </a:solidFill>
                <a:prstDash val="solid"/>
              </a:ln>
            </c:spPr>
            <c:extLst>
              <c:ext xmlns:c16="http://schemas.microsoft.com/office/drawing/2014/chart" uri="{C3380CC4-5D6E-409C-BE32-E72D297353CC}">
                <c16:uniqueId val="{00000001-24AF-4B34-8945-B632AAAFC87F}"/>
              </c:ext>
            </c:extLst>
          </c:dPt>
          <c:dPt>
            <c:idx val="2"/>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2-24AF-4B34-8945-B632AAAFC87F}"/>
              </c:ext>
            </c:extLst>
          </c:dPt>
          <c:dPt>
            <c:idx val="3"/>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3-24AF-4B34-8945-B632AAAFC87F}"/>
              </c:ext>
            </c:extLst>
          </c:dPt>
          <c:dPt>
            <c:idx val="4"/>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4-24AF-4B34-8945-B632AAAFC87F}"/>
              </c:ext>
            </c:extLst>
          </c:dPt>
          <c:dPt>
            <c:idx val="5"/>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5-24AF-4B34-8945-B632AAAFC87F}"/>
              </c:ext>
            </c:extLst>
          </c:dPt>
          <c:dPt>
            <c:idx val="6"/>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6-24AF-4B34-8945-B632AAAFC87F}"/>
              </c:ext>
            </c:extLst>
          </c:dPt>
          <c:dPt>
            <c:idx val="7"/>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7-24AF-4B34-8945-B632AAAFC87F}"/>
              </c:ext>
            </c:extLst>
          </c:dPt>
          <c:dPt>
            <c:idx val="8"/>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8-24AF-4B34-8945-B632AAAFC87F}"/>
              </c:ext>
            </c:extLst>
          </c:dPt>
          <c:dPt>
            <c:idx val="9"/>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9-24AF-4B34-8945-B632AAAFC87F}"/>
              </c:ext>
            </c:extLst>
          </c:dPt>
          <c:dPt>
            <c:idx val="10"/>
            <c:invertIfNegative val="0"/>
            <c:bubble3D val="0"/>
            <c:spPr>
              <a:solidFill>
                <a:srgbClr val="492F92"/>
              </a:solidFill>
              <a:ln w="12700">
                <a:solidFill>
                  <a:srgbClr val="000000"/>
                </a:solidFill>
                <a:prstDash val="solid"/>
              </a:ln>
            </c:spPr>
            <c:extLst>
              <c:ext xmlns:c16="http://schemas.microsoft.com/office/drawing/2014/chart" uri="{C3380CC4-5D6E-409C-BE32-E72D297353CC}">
                <c16:uniqueId val="{0000000A-24AF-4B34-8945-B632AAAFC87F}"/>
              </c:ext>
            </c:extLst>
          </c:dPt>
          <c:cat>
            <c:strRef>
              <c:f>Summary!$C$32:$C$42</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Summary!$E$32:$E$42</c:f>
              <c:numCache>
                <c:formatCode>0.0</c:formatCode>
                <c:ptCount val="11"/>
                <c:pt idx="0">
                  <c:v>0</c:v>
                </c:pt>
                <c:pt idx="1">
                  <c:v>0</c:v>
                </c:pt>
                <c:pt idx="2">
                  <c:v>36.466890756302512</c:v>
                </c:pt>
                <c:pt idx="3">
                  <c:v>0</c:v>
                </c:pt>
                <c:pt idx="4">
                  <c:v>0</c:v>
                </c:pt>
                <c:pt idx="5">
                  <c:v>85.029531812725097</c:v>
                </c:pt>
                <c:pt idx="6">
                  <c:v>0</c:v>
                </c:pt>
                <c:pt idx="7">
                  <c:v>0</c:v>
                </c:pt>
                <c:pt idx="8">
                  <c:v>0</c:v>
                </c:pt>
                <c:pt idx="9">
                  <c:v>2.2139566960705688</c:v>
                </c:pt>
                <c:pt idx="10">
                  <c:v>0</c:v>
                </c:pt>
              </c:numCache>
            </c:numRef>
          </c:val>
          <c:extLst>
            <c:ext xmlns:c16="http://schemas.microsoft.com/office/drawing/2014/chart" uri="{C3380CC4-5D6E-409C-BE32-E72D297353CC}">
              <c16:uniqueId val="{0000000B-24AF-4B34-8945-B632AAAFC87F}"/>
            </c:ext>
          </c:extLst>
        </c:ser>
        <c:ser>
          <c:idx val="1"/>
          <c:order val="1"/>
          <c:tx>
            <c:strRef>
              <c:f>Summary!$F$31</c:f>
              <c:strCache>
                <c:ptCount val="1"/>
                <c:pt idx="0">
                  <c:v>VPP</c:v>
                </c:pt>
              </c:strCache>
            </c:strRef>
          </c:tx>
          <c:spPr>
            <a:solidFill>
              <a:schemeClr val="tx2">
                <a:lumMod val="40000"/>
                <a:lumOff val="60000"/>
              </a:schemeClr>
            </a:solidFill>
            <a:ln w="12700">
              <a:solidFill>
                <a:srgbClr val="000000"/>
              </a:solidFill>
            </a:ln>
          </c:spPr>
          <c:invertIfNegative val="0"/>
          <c:dPt>
            <c:idx val="0"/>
            <c:invertIfNegative val="0"/>
            <c:bubble3D val="0"/>
            <c:spPr>
              <a:solidFill>
                <a:schemeClr val="accent2">
                  <a:lumMod val="60000"/>
                  <a:lumOff val="40000"/>
                </a:schemeClr>
              </a:solidFill>
              <a:ln w="12700">
                <a:solidFill>
                  <a:srgbClr val="000000"/>
                </a:solidFill>
              </a:ln>
            </c:spPr>
            <c:extLst>
              <c:ext xmlns:c16="http://schemas.microsoft.com/office/drawing/2014/chart" uri="{C3380CC4-5D6E-409C-BE32-E72D297353CC}">
                <c16:uniqueId val="{0000000C-24AF-4B34-8945-B632AAAFC87F}"/>
              </c:ext>
            </c:extLst>
          </c:dPt>
          <c:dPt>
            <c:idx val="1"/>
            <c:invertIfNegative val="0"/>
            <c:bubble3D val="0"/>
            <c:spPr>
              <a:solidFill>
                <a:schemeClr val="accent6">
                  <a:lumMod val="60000"/>
                  <a:lumOff val="40000"/>
                </a:schemeClr>
              </a:solidFill>
              <a:ln w="12700">
                <a:solidFill>
                  <a:srgbClr val="000000"/>
                </a:solidFill>
              </a:ln>
            </c:spPr>
            <c:extLst>
              <c:ext xmlns:c16="http://schemas.microsoft.com/office/drawing/2014/chart" uri="{C3380CC4-5D6E-409C-BE32-E72D297353CC}">
                <c16:uniqueId val="{0000000D-24AF-4B34-8945-B632AAAFC87F}"/>
              </c:ext>
            </c:extLst>
          </c:dPt>
          <c:dPt>
            <c:idx val="2"/>
            <c:invertIfNegative val="0"/>
            <c:bubble3D val="0"/>
            <c:spPr>
              <a:solidFill>
                <a:schemeClr val="accent6">
                  <a:lumMod val="60000"/>
                  <a:lumOff val="40000"/>
                </a:schemeClr>
              </a:solidFill>
              <a:ln w="12700">
                <a:solidFill>
                  <a:srgbClr val="000000"/>
                </a:solidFill>
              </a:ln>
            </c:spPr>
            <c:extLst>
              <c:ext xmlns:c16="http://schemas.microsoft.com/office/drawing/2014/chart" uri="{C3380CC4-5D6E-409C-BE32-E72D297353CC}">
                <c16:uniqueId val="{0000000E-24AF-4B34-8945-B632AAAFC87F}"/>
              </c:ext>
            </c:extLst>
          </c:dPt>
          <c:dPt>
            <c:idx val="3"/>
            <c:invertIfNegative val="0"/>
            <c:bubble3D val="0"/>
            <c:spPr>
              <a:solidFill>
                <a:schemeClr val="accent6">
                  <a:lumMod val="60000"/>
                  <a:lumOff val="40000"/>
                </a:schemeClr>
              </a:solidFill>
              <a:ln w="12700">
                <a:solidFill>
                  <a:srgbClr val="000000"/>
                </a:solidFill>
              </a:ln>
            </c:spPr>
            <c:extLst>
              <c:ext xmlns:c16="http://schemas.microsoft.com/office/drawing/2014/chart" uri="{C3380CC4-5D6E-409C-BE32-E72D297353CC}">
                <c16:uniqueId val="{0000000F-24AF-4B34-8945-B632AAAFC87F}"/>
              </c:ext>
            </c:extLst>
          </c:dPt>
          <c:dPt>
            <c:idx val="4"/>
            <c:invertIfNegative val="0"/>
            <c:bubble3D val="0"/>
            <c:spPr>
              <a:solidFill>
                <a:schemeClr val="accent6">
                  <a:lumMod val="60000"/>
                  <a:lumOff val="40000"/>
                </a:schemeClr>
              </a:solidFill>
              <a:ln w="12700">
                <a:solidFill>
                  <a:srgbClr val="000000"/>
                </a:solidFill>
              </a:ln>
            </c:spPr>
            <c:extLst>
              <c:ext xmlns:c16="http://schemas.microsoft.com/office/drawing/2014/chart" uri="{C3380CC4-5D6E-409C-BE32-E72D297353CC}">
                <c16:uniqueId val="{00000010-24AF-4B34-8945-B632AAAFC87F}"/>
              </c:ext>
            </c:extLst>
          </c:dPt>
          <c:cat>
            <c:strRef>
              <c:f>Summary!$C$32:$C$42</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Summary!$F$32:$F$42</c:f>
              <c:numCache>
                <c:formatCode>0.0</c:formatCode>
                <c:ptCount val="11"/>
                <c:pt idx="0">
                  <c:v>0</c:v>
                </c:pt>
                <c:pt idx="1">
                  <c:v>0</c:v>
                </c:pt>
                <c:pt idx="2">
                  <c:v>0.5879122558114156</c:v>
                </c:pt>
                <c:pt idx="3">
                  <c:v>0</c:v>
                </c:pt>
                <c:pt idx="4">
                  <c:v>0</c:v>
                </c:pt>
                <c:pt idx="5">
                  <c:v>8.7324929971988787</c:v>
                </c:pt>
                <c:pt idx="6">
                  <c:v>0</c:v>
                </c:pt>
                <c:pt idx="7">
                  <c:v>0</c:v>
                </c:pt>
                <c:pt idx="8">
                  <c:v>0</c:v>
                </c:pt>
                <c:pt idx="9">
                  <c:v>0.12607006821182382</c:v>
                </c:pt>
                <c:pt idx="10">
                  <c:v>0</c:v>
                </c:pt>
              </c:numCache>
            </c:numRef>
          </c:val>
          <c:extLst>
            <c:ext xmlns:c16="http://schemas.microsoft.com/office/drawing/2014/chart" uri="{C3380CC4-5D6E-409C-BE32-E72D297353CC}">
              <c16:uniqueId val="{00000011-24AF-4B34-8945-B632AAAFC87F}"/>
            </c:ext>
          </c:extLst>
        </c:ser>
        <c:dLbls>
          <c:showLegendKey val="0"/>
          <c:showVal val="0"/>
          <c:showCatName val="0"/>
          <c:showSerName val="0"/>
          <c:showPercent val="0"/>
          <c:showBubbleSize val="0"/>
        </c:dLbls>
        <c:gapWidth val="150"/>
        <c:overlap val="100"/>
        <c:axId val="98980224"/>
        <c:axId val="98982528"/>
      </c:barChart>
      <c:catAx>
        <c:axId val="98980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zh-CN"/>
          </a:p>
        </c:txPr>
        <c:crossAx val="98982528"/>
        <c:crosses val="autoZero"/>
        <c:auto val="1"/>
        <c:lblAlgn val="ctr"/>
        <c:lblOffset val="100"/>
        <c:tickLblSkip val="1"/>
        <c:tickMarkSkip val="1"/>
        <c:noMultiLvlLbl val="0"/>
      </c:catAx>
      <c:valAx>
        <c:axId val="98982528"/>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33E-4"/>
              <c:y val="0.3463482269394751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zh-CN"/>
          </a:p>
        </c:txPr>
        <c:crossAx val="98980224"/>
        <c:crosses val="autoZero"/>
        <c:crossBetween val="between"/>
      </c:valAx>
      <c:spPr>
        <a:solidFill>
          <a:srgbClr val="E6E6E6"/>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zh-CN"/>
    </a:p>
  </c:txPr>
  <c:printSettings>
    <c:headerFooter alignWithMargins="0"/>
    <c:pageMargins b="1" l="0.75000000000000766" r="0.75000000000000766" t="1" header="0.5" footer="0.5"/>
    <c:pageSetup orientation="landscape"/>
  </c:printSettings>
</c:chartSpace>
</file>

<file path=xl/ctrlProps/ctrlProp1.xml><?xml version="1.0" encoding="utf-8"?>
<formControlPr xmlns="http://schemas.microsoft.com/office/spreadsheetml/2009/9/main" objectType="Drop" dropLines="3" dropStyle="combo" dx="15" fmlaLink="$O$1" fmlaRange="$O$3:$O$5" noThreeD="1" sel="3" val="0"/>
</file>

<file path=xl/ctrlProps/ctrlProp2.xml><?xml version="1.0" encoding="utf-8"?>
<formControlPr xmlns="http://schemas.microsoft.com/office/spreadsheetml/2009/9/main" objectType="Drop" dropLines="3" dropStyle="combo" dx="15" fmlaLink="$U$1" fmlaRange="$T$3:$T$5" noThreeD="1" sel="1" val="0"/>
</file>

<file path=xl/ctrlProps/ctrlProp3.xml><?xml version="1.0" encoding="utf-8"?>
<formControlPr xmlns="http://schemas.microsoft.com/office/spreadsheetml/2009/9/main" objectType="Drop" dropLines="10" dropStyle="combo" dx="15" fmlaLink="$P$1" fmlaRange="$P$3:$P$12" noThreeD="1" sel="4" val="0"/>
</file>

<file path=xl/ctrlProps/ctrlProp4.xml><?xml version="1.0" encoding="utf-8"?>
<formControlPr xmlns="http://schemas.microsoft.com/office/spreadsheetml/2009/9/main" objectType="Drop" dropLines="2" dropStyle="combo" dx="15" fmlaLink="$R$1" fmlaRange="$Q$3:$Q$4" noThreeD="1" sel="1" val="0"/>
</file>

<file path=xl/ctrlProps/ctrlProp5.xml><?xml version="1.0" encoding="utf-8"?>
<formControlPr xmlns="http://schemas.microsoft.com/office/spreadsheetml/2009/9/main" objectType="Drop" dropLines="2" dropStyle="combo" dx="15" fmlaLink="$V$1" fmlaRange="$W$3:$W$4" noThreeD="1" sel="1" val="0"/>
</file>

<file path=xl/ctrlProps/ctrlProp6.xml><?xml version="1.0" encoding="utf-8"?>
<formControlPr xmlns="http://schemas.microsoft.com/office/spreadsheetml/2009/9/main" objectType="Drop" dropLines="2" dropStyle="combo" dx="15" fmlaLink="$BA$1" fmlaRange="$BA$3:$BA$4" noThreeD="1" sel="1" val="0"/>
</file>

<file path=xl/ctrlProps/ctrlProp7.xml><?xml version="1.0" encoding="utf-8"?>
<formControlPr xmlns="http://schemas.microsoft.com/office/spreadsheetml/2009/9/main" objectType="Drop" dropLines="7" dropStyle="combo" dx="15" fmlaLink="$BB$1" fmlaRange="$BB$3:$BB$10" noThreeD="1" sel="7" val="0"/>
</file>

<file path=xl/ctrlProps/ctrlProp8.xml><?xml version="1.0" encoding="utf-8"?>
<formControlPr xmlns="http://schemas.microsoft.com/office/spreadsheetml/2009/9/main" objectType="Drop" dropLines="7" dropStyle="combo" dx="15" fmlaLink="$BD$1" fmlaRange="$BD$3:$BD$10" noThreeD="1" sel="8" val="0"/>
</file>

<file path=xl/ctrlProps/ctrlProp9.xml><?xml version="1.0" encoding="utf-8"?>
<formControlPr xmlns="http://schemas.microsoft.com/office/spreadsheetml/2009/9/main" objectType="Drop" dropLines="3" dropStyle="combo" dx="15" fmlaLink="$BC$1" fmlaRange="$BC$3:$BC$5" noThreeD="1" sel="3" val="0"/>
</file>

<file path=xl/ctrlProps/ctrlProp10.xml><?xml version="1.0" encoding="utf-8"?>
<formControlPr xmlns="http://schemas.microsoft.com/office/spreadsheetml/2009/9/main" objectType="Drop" dropLines="5" dropStyle="combo" dx="15" fmlaLink="$C$2" fmlaRange="$C$3:$C$7" noThreeD="1" sel="2" val="0"/>
</file>

<file path=xl/ctrlProps/ctrlProp11.xml><?xml version="1.0" encoding="utf-8"?>
<formControlPr xmlns="http://schemas.microsoft.com/office/spreadsheetml/2009/9/main" objectType="Drop" dropLines="3" dropStyle="combo" dx="15" fmlaLink="$S$1" fmlaRange="$S$4:$S$6" noThreeD="1" sel="1" val="0"/>
</file>

<file path=xl/ctrlProps/ctrlProp12.xml><?xml version="1.0" encoding="utf-8"?>
<formControlPr xmlns="http://schemas.microsoft.com/office/spreadsheetml/2009/9/main" objectType="Drop" dropLines="4" dropStyle="combo" dx="15" fmlaLink="$T$1" fmlaRange="$T$4:$T$7" noThreeD="1" sel="1" val="0"/>
</file>

<file path=xl/ctrlProps/ctrlProp13.xml><?xml version="1.0" encoding="utf-8"?>
<formControlPr xmlns="http://schemas.microsoft.com/office/spreadsheetml/2009/9/main" objectType="Drop" dropLines="2" dropStyle="combo" dx="15" fmlaLink="$U$1" fmlaRange="$U$4:$U$5" noThreeD="1" sel="1" val="0"/>
</file>

<file path=xl/ctrlProps/ctrlProp14.xml><?xml version="1.0" encoding="utf-8"?>
<formControlPr xmlns="http://schemas.microsoft.com/office/spreadsheetml/2009/9/main" objectType="Drop" dropLines="3" dropStyle="combo" dx="15" fmlaLink="$P$1" fmlaRange="$P$3:$P$5" noThreeD="1" sel="1" val="0"/>
</file>

<file path=xl/ctrlProps/ctrlProp15.xml><?xml version="1.0" encoding="utf-8"?>
<formControlPr xmlns="http://schemas.microsoft.com/office/spreadsheetml/2009/9/main" objectType="Drop" dropLines="4" dropStyle="combo" dx="15" fmlaLink="$Q$1" fmlaRange="$Q$3:$Q$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18</xdr:row>
      <xdr:rowOff>0</xdr:rowOff>
    </xdr:to>
    <xdr:sp macro="" textlink="">
      <xdr:nvSpPr>
        <xdr:cNvPr id="3075" name="Rectangle 3">
          <a:extLst>
            <a:ext uri="{FF2B5EF4-FFF2-40B4-BE49-F238E27FC236}">
              <a16:creationId xmlns:a16="http://schemas.microsoft.com/office/drawing/2014/main" id="{00000000-0008-0000-0000-0000030C0000}"/>
            </a:ext>
          </a:extLst>
        </xdr:cNvPr>
        <xdr:cNvSpPr>
          <a:spLocks noChangeArrowheads="1"/>
        </xdr:cNvSpPr>
      </xdr:nvSpPr>
      <xdr:spPr bwMode="auto">
        <a:xfrm>
          <a:off x="590550" y="171450"/>
          <a:ext cx="5219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1857376</xdr:colOff>
      <xdr:row>1</xdr:row>
      <xdr:rowOff>74304</xdr:rowOff>
    </xdr:from>
    <xdr:to>
      <xdr:col>3</xdr:col>
      <xdr:colOff>3895726</xdr:colOff>
      <xdr:row>4</xdr:row>
      <xdr:rowOff>145925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24226" y="245754"/>
          <a:ext cx="2038350" cy="5573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5886450</xdr:colOff>
      <xdr:row>1</xdr:row>
      <xdr:rowOff>9525</xdr:rowOff>
    </xdr:from>
    <xdr:to>
      <xdr:col>2</xdr:col>
      <xdr:colOff>7924800</xdr:colOff>
      <xdr:row>3</xdr:row>
      <xdr:rowOff>243071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572375" y="171450"/>
          <a:ext cx="2038350" cy="5573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1</xdr:row>
      <xdr:rowOff>266700</xdr:rowOff>
    </xdr:from>
    <xdr:to>
      <xdr:col>2</xdr:col>
      <xdr:colOff>680901</xdr:colOff>
      <xdr:row>3</xdr:row>
      <xdr:rowOff>184785</xdr:rowOff>
    </xdr:to>
    <xdr:pic>
      <xdr:nvPicPr>
        <xdr:cNvPr id="7369" name="Picture 392">
          <a:extLst>
            <a:ext uri="{FF2B5EF4-FFF2-40B4-BE49-F238E27FC236}">
              <a16:creationId xmlns:a16="http://schemas.microsoft.com/office/drawing/2014/main" id="{00000000-0008-0000-0200-0000C9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 y="314325"/>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28574</xdr:colOff>
      <xdr:row>6</xdr:row>
      <xdr:rowOff>19049</xdr:rowOff>
    </xdr:from>
    <xdr:to>
      <xdr:col>5</xdr:col>
      <xdr:colOff>209549</xdr:colOff>
      <xdr:row>10</xdr:row>
      <xdr:rowOff>219074</xdr:rowOff>
    </xdr:to>
    <xdr:sp macro="" textlink="">
      <xdr:nvSpPr>
        <xdr:cNvPr id="5107" name="AutoShape 9">
          <a:extLst>
            <a:ext uri="{FF2B5EF4-FFF2-40B4-BE49-F238E27FC236}">
              <a16:creationId xmlns:a16="http://schemas.microsoft.com/office/drawing/2014/main" id="{00000000-0008-0000-0300-0000F3130000}"/>
            </a:ext>
          </a:extLst>
        </xdr:cNvPr>
        <xdr:cNvSpPr>
          <a:spLocks/>
        </xdr:cNvSpPr>
      </xdr:nvSpPr>
      <xdr:spPr bwMode="auto">
        <a:xfrm>
          <a:off x="6067424" y="1533524"/>
          <a:ext cx="180975" cy="1152525"/>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5</xdr:col>
      <xdr:colOff>295275</xdr:colOff>
      <xdr:row>5</xdr:row>
      <xdr:rowOff>200025</xdr:rowOff>
    </xdr:from>
    <xdr:to>
      <xdr:col>12</xdr:col>
      <xdr:colOff>308610</xdr:colOff>
      <xdr:row>10</xdr:row>
      <xdr:rowOff>219075</xdr:rowOff>
    </xdr:to>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6334125" y="1419225"/>
          <a:ext cx="2413635" cy="1266825"/>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5</xdr:col>
      <xdr:colOff>57150</xdr:colOff>
      <xdr:row>13</xdr:row>
      <xdr:rowOff>9526</xdr:rowOff>
    </xdr:from>
    <xdr:to>
      <xdr:col>5</xdr:col>
      <xdr:colOff>171450</xdr:colOff>
      <xdr:row>48</xdr:row>
      <xdr:rowOff>1</xdr:rowOff>
    </xdr:to>
    <xdr:sp macro="" textlink="">
      <xdr:nvSpPr>
        <xdr:cNvPr id="5109" name="AutoShape 11">
          <a:extLst>
            <a:ext uri="{FF2B5EF4-FFF2-40B4-BE49-F238E27FC236}">
              <a16:creationId xmlns:a16="http://schemas.microsoft.com/office/drawing/2014/main" id="{00000000-0008-0000-0300-0000F5130000}"/>
            </a:ext>
          </a:extLst>
        </xdr:cNvPr>
        <xdr:cNvSpPr>
          <a:spLocks/>
        </xdr:cNvSpPr>
      </xdr:nvSpPr>
      <xdr:spPr bwMode="auto">
        <a:xfrm>
          <a:off x="6096000" y="2971801"/>
          <a:ext cx="114300" cy="6610350"/>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5</xdr:col>
      <xdr:colOff>304800</xdr:colOff>
      <xdr:row>25</xdr:row>
      <xdr:rowOff>66675</xdr:rowOff>
    </xdr:from>
    <xdr:to>
      <xdr:col>13</xdr:col>
      <xdr:colOff>194310</xdr:colOff>
      <xdr:row>32</xdr:row>
      <xdr:rowOff>32385</xdr:rowOff>
    </xdr:to>
    <xdr:sp macro="" textlink="">
      <xdr:nvSpPr>
        <xdr:cNvPr id="4109" name="Text Box 13">
          <a:extLst>
            <a:ext uri="{FF2B5EF4-FFF2-40B4-BE49-F238E27FC236}">
              <a16:creationId xmlns:a16="http://schemas.microsoft.com/office/drawing/2014/main" id="{00000000-0008-0000-0300-00000D100000}"/>
            </a:ext>
          </a:extLst>
        </xdr:cNvPr>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"DDR4 Spec" tab and require no user input. </a:t>
          </a:r>
          <a:r>
            <a:rPr lang="en-US" sz="1200" b="1" i="0" u="none" strike="noStrike" baseline="0">
              <a:solidFill>
                <a:schemeClr val="bg1"/>
              </a:solidFill>
              <a:latin typeface="Arial"/>
              <a:cs typeface="Arial"/>
            </a:rPr>
            <a:t>Please confirm the numbers in that worksheet are updated prior to use.</a:t>
          </a:r>
        </a:p>
      </xdr:txBody>
    </xdr:sp>
    <xdr:clientData/>
  </xdr:twoCellAnchor>
  <xdr:twoCellAnchor editAs="oneCell">
    <xdr:from>
      <xdr:col>1</xdr:col>
      <xdr:colOff>133350</xdr:colOff>
      <xdr:row>1</xdr:row>
      <xdr:rowOff>28575</xdr:rowOff>
    </xdr:from>
    <xdr:to>
      <xdr:col>2</xdr:col>
      <xdr:colOff>958215</xdr:colOff>
      <xdr:row>2</xdr:row>
      <xdr:rowOff>120015</xdr:rowOff>
    </xdr:to>
    <xdr:pic>
      <xdr:nvPicPr>
        <xdr:cNvPr id="5111" name="Picture 392">
          <a:extLst>
            <a:ext uri="{FF2B5EF4-FFF2-40B4-BE49-F238E27FC236}">
              <a16:creationId xmlns:a16="http://schemas.microsoft.com/office/drawing/2014/main" id="{00000000-0008-0000-0300-0000F713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3350" y="85725"/>
          <a:ext cx="1676400" cy="45720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3943350</xdr:colOff>
          <xdr:row>6</xdr:row>
          <xdr:rowOff>0</xdr:rowOff>
        </xdr:from>
        <xdr:to>
          <xdr:col>5</xdr:col>
          <xdr:colOff>0</xdr:colOff>
          <xdr:row>7</xdr:row>
          <xdr:rowOff>0</xdr:rowOff>
        </xdr:to>
        <xdr:sp macro="" textlink="">
          <xdr:nvSpPr>
            <xdr:cNvPr id="4102" name="Drop Dow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3943350</xdr:colOff>
          <xdr:row>7</xdr:row>
          <xdr:rowOff>0</xdr:rowOff>
        </xdr:from>
        <xdr:to>
          <xdr:col>5</xdr:col>
          <xdr:colOff>0</xdr:colOff>
          <xdr:row>8</xdr:row>
          <xdr:rowOff>0</xdr:rowOff>
        </xdr:to>
        <xdr:sp macro="" textlink="">
          <xdr:nvSpPr>
            <xdr:cNvPr id="4993" name="Drop Down 897" hidden="1">
              <a:extLst>
                <a:ext uri="{63B3BB69-23CF-44E3-9099-C40C66FF867C}">
                  <a14:compatExt spid="_x0000_s4993"/>
                </a:ext>
                <a:ext uri="{FF2B5EF4-FFF2-40B4-BE49-F238E27FC236}">
                  <a16:creationId xmlns:a16="http://schemas.microsoft.com/office/drawing/2014/main" id="{00000000-0008-0000-0300-00008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3943350</xdr:colOff>
          <xdr:row>8</xdr:row>
          <xdr:rowOff>0</xdr:rowOff>
        </xdr:from>
        <xdr:to>
          <xdr:col>5</xdr:col>
          <xdr:colOff>0</xdr:colOff>
          <xdr:row>9</xdr:row>
          <xdr:rowOff>0</xdr:rowOff>
        </xdr:to>
        <xdr:sp macro="" textlink="">
          <xdr:nvSpPr>
            <xdr:cNvPr id="4994" name="Drop Down 898" hidden="1">
              <a:extLst>
                <a:ext uri="{63B3BB69-23CF-44E3-9099-C40C66FF867C}">
                  <a14:compatExt spid="_x0000_s4994"/>
                </a:ext>
                <a:ext uri="{FF2B5EF4-FFF2-40B4-BE49-F238E27FC236}">
                  <a16:creationId xmlns:a16="http://schemas.microsoft.com/office/drawing/2014/main" id="{00000000-0008-0000-0300-00008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3943350</xdr:colOff>
          <xdr:row>9</xdr:row>
          <xdr:rowOff>0</xdr:rowOff>
        </xdr:from>
        <xdr:to>
          <xdr:col>5</xdr:col>
          <xdr:colOff>0</xdr:colOff>
          <xdr:row>9</xdr:row>
          <xdr:rowOff>228600</xdr:rowOff>
        </xdr:to>
        <xdr:sp macro="" textlink="">
          <xdr:nvSpPr>
            <xdr:cNvPr id="4996" name="Drop Down 900" hidden="1">
              <a:extLst>
                <a:ext uri="{63B3BB69-23CF-44E3-9099-C40C66FF867C}">
                  <a14:compatExt spid="_x0000_s4996"/>
                </a:ext>
                <a:ext uri="{FF2B5EF4-FFF2-40B4-BE49-F238E27FC236}">
                  <a16:creationId xmlns:a16="http://schemas.microsoft.com/office/drawing/2014/main" id="{00000000-0008-0000-0300-00008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3943350</xdr:colOff>
          <xdr:row>10</xdr:row>
          <xdr:rowOff>0</xdr:rowOff>
        </xdr:from>
        <xdr:to>
          <xdr:col>5</xdr:col>
          <xdr:colOff>0</xdr:colOff>
          <xdr:row>10</xdr:row>
          <xdr:rowOff>228600</xdr:rowOff>
        </xdr:to>
        <xdr:sp macro="" textlink="">
          <xdr:nvSpPr>
            <xdr:cNvPr id="4997" name="Drop Down 901" hidden="1">
              <a:extLst>
                <a:ext uri="{63B3BB69-23CF-44E3-9099-C40C66FF867C}">
                  <a14:compatExt spid="_x0000_s4997"/>
                </a:ext>
                <a:ext uri="{FF2B5EF4-FFF2-40B4-BE49-F238E27FC236}">
                  <a16:creationId xmlns:a16="http://schemas.microsoft.com/office/drawing/2014/main" id="{00000000-0008-0000-0300-00008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17</xdr:col>
      <xdr:colOff>114300</xdr:colOff>
      <xdr:row>0</xdr:row>
      <xdr:rowOff>0</xdr:rowOff>
    </xdr:from>
    <xdr:to>
      <xdr:col>20</xdr:col>
      <xdr:colOff>377190</xdr:colOff>
      <xdr:row>2</xdr:row>
      <xdr:rowOff>4595</xdr:rowOff>
    </xdr:to>
    <xdr:pic>
      <xdr:nvPicPr>
        <xdr:cNvPr id="5480" name="Picture 392">
          <a:extLst>
            <a:ext uri="{FF2B5EF4-FFF2-40B4-BE49-F238E27FC236}">
              <a16:creationId xmlns:a16="http://schemas.microsoft.com/office/drawing/2014/main" id="{00000000-0008-0000-0400-0000681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9</xdr:col>
      <xdr:colOff>499782</xdr:colOff>
      <xdr:row>0</xdr:row>
      <xdr:rowOff>89086</xdr:rowOff>
    </xdr:from>
    <xdr:to>
      <xdr:col>11</xdr:col>
      <xdr:colOff>654422</xdr:colOff>
      <xdr:row>2</xdr:row>
      <xdr:rowOff>80122</xdr:rowOff>
    </xdr:to>
    <xdr:pic>
      <xdr:nvPicPr>
        <xdr:cNvPr id="8" name="Picture 39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013576" y="89086"/>
          <a:ext cx="1678641" cy="444986"/>
        </a:xfrm>
        <a:prstGeom prst="rect">
          <a:avLst/>
        </a:prstGeom>
        <a:noFill/>
        <a:ln w="1">
          <a:noFill/>
          <a:miter lim="800000"/>
          <a:headEnd/>
          <a:tailEnd/>
        </a:ln>
      </xdr:spPr>
    </xdr:pic>
    <xdr:clientData/>
  </xdr:twoCellAnchor>
  <xdr:twoCellAnchor editAs="oneCell">
    <xdr:from>
      <xdr:col>17</xdr:col>
      <xdr:colOff>114300</xdr:colOff>
      <xdr:row>0</xdr:row>
      <xdr:rowOff>0</xdr:rowOff>
    </xdr:from>
    <xdr:to>
      <xdr:col>20</xdr:col>
      <xdr:colOff>377190</xdr:colOff>
      <xdr:row>2</xdr:row>
      <xdr:rowOff>4595</xdr:rowOff>
    </xdr:to>
    <xdr:pic>
      <xdr:nvPicPr>
        <xdr:cNvPr id="9" name="Picture 392">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twoCellAnchor editAs="oneCell">
    <xdr:from>
      <xdr:col>25</xdr:col>
      <xdr:colOff>247648</xdr:colOff>
      <xdr:row>5</xdr:row>
      <xdr:rowOff>147770</xdr:rowOff>
    </xdr:from>
    <xdr:to>
      <xdr:col>32</xdr:col>
      <xdr:colOff>72923</xdr:colOff>
      <xdr:row>12</xdr:row>
      <xdr:rowOff>186583</xdr:rowOff>
    </xdr:to>
    <xdr:pic>
      <xdr:nvPicPr>
        <xdr:cNvPr id="6145" name="Picture 1">
          <a:extLst>
            <a:ext uri="{FF2B5EF4-FFF2-40B4-BE49-F238E27FC236}">
              <a16:creationId xmlns:a16="http://schemas.microsoft.com/office/drawing/2014/main" id="{00000000-0008-0000-0400-00000118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3344523" y="919295"/>
          <a:ext cx="4115337" cy="1547686"/>
        </a:xfrm>
        <a:prstGeom prst="rect">
          <a:avLst/>
        </a:prstGeom>
        <a:noFill/>
        <a:ln w="1">
          <a:noFill/>
          <a:miter lim="800000"/>
          <a:headEnd/>
          <a:tailEnd type="none" w="med" len="med"/>
        </a:ln>
        <a:effectLst/>
      </xdr:spPr>
    </xdr:pic>
    <xdr:clientData/>
  </xdr:twoCellAnchor>
  <xdr:twoCellAnchor editAs="oneCell">
    <xdr:from>
      <xdr:col>17</xdr:col>
      <xdr:colOff>228599</xdr:colOff>
      <xdr:row>5</xdr:row>
      <xdr:rowOff>154563</xdr:rowOff>
    </xdr:from>
    <xdr:to>
      <xdr:col>24</xdr:col>
      <xdr:colOff>118110</xdr:colOff>
      <xdr:row>12</xdr:row>
      <xdr:rowOff>187606</xdr:rowOff>
    </xdr:to>
    <xdr:pic>
      <xdr:nvPicPr>
        <xdr:cNvPr id="6146" name="Picture 2">
          <a:extLst>
            <a:ext uri="{FF2B5EF4-FFF2-40B4-BE49-F238E27FC236}">
              <a16:creationId xmlns:a16="http://schemas.microsoft.com/office/drawing/2014/main" id="{00000000-0008-0000-0400-00000218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2543864" y="1353592"/>
          <a:ext cx="3957246" cy="1530598"/>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21</xdr:col>
          <xdr:colOff>0</xdr:colOff>
          <xdr:row>14</xdr:row>
          <xdr:rowOff>0</xdr:rowOff>
        </xdr:from>
        <xdr:to>
          <xdr:col>22</xdr:col>
          <xdr:colOff>0</xdr:colOff>
          <xdr:row>14</xdr:row>
          <xdr:rowOff>371475</xdr:rowOff>
        </xdr:to>
        <xdr:sp macro="" textlink="">
          <xdr:nvSpPr>
            <xdr:cNvPr id="5130" name="Drop Dow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14</xdr:row>
          <xdr:rowOff>0</xdr:rowOff>
        </xdr:from>
        <xdr:to>
          <xdr:col>24</xdr:col>
          <xdr:colOff>0</xdr:colOff>
          <xdr:row>14</xdr:row>
          <xdr:rowOff>371475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14</xdr:row>
          <xdr:rowOff>0</xdr:rowOff>
        </xdr:from>
        <xdr:to>
          <xdr:col>32</xdr:col>
          <xdr:colOff>0</xdr:colOff>
          <xdr:row>14</xdr:row>
          <xdr:rowOff>371475</xdr:rowOff>
        </xdr:to>
        <xdr:sp macro="" textlink="">
          <xdr:nvSpPr>
            <xdr:cNvPr id="5132" name="Drop Down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14</xdr:row>
          <xdr:rowOff>0</xdr:rowOff>
        </xdr:from>
        <xdr:to>
          <xdr:col>30</xdr:col>
          <xdr:colOff>0</xdr:colOff>
          <xdr:row>14</xdr:row>
          <xdr:rowOff>371475</xdr:rowOff>
        </xdr:to>
        <xdr:sp macro="" textlink="">
          <xdr:nvSpPr>
            <xdr:cNvPr id="5133" name="Drop Down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14</xdr:row>
          <xdr:rowOff>9525</xdr:rowOff>
        </xdr:from>
        <xdr:to>
          <xdr:col>10</xdr:col>
          <xdr:colOff>0</xdr:colOff>
          <xdr:row>14</xdr:row>
          <xdr:rowOff>381000</xdr:rowOff>
        </xdr:to>
        <xdr:sp macro="" textlink="">
          <xdr:nvSpPr>
            <xdr:cNvPr id="5137" name="Drop Down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14</xdr:col>
      <xdr:colOff>133350</xdr:colOff>
      <xdr:row>0</xdr:row>
      <xdr:rowOff>28575</xdr:rowOff>
    </xdr:from>
    <xdr:to>
      <xdr:col>16</xdr:col>
      <xdr:colOff>371475</xdr:colOff>
      <xdr:row>3</xdr:row>
      <xdr:rowOff>95250</xdr:rowOff>
    </xdr:to>
    <xdr:pic>
      <xdr:nvPicPr>
        <xdr:cNvPr id="1229" name="Picture 392">
          <a:extLst>
            <a:ext uri="{FF2B5EF4-FFF2-40B4-BE49-F238E27FC236}">
              <a16:creationId xmlns:a16="http://schemas.microsoft.com/office/drawing/2014/main" id="{00000000-0008-0000-0500-0000CD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238125</xdr:colOff>
      <xdr:row>7</xdr:row>
      <xdr:rowOff>123825</xdr:rowOff>
    </xdr:from>
    <xdr:to>
      <xdr:col>14</xdr:col>
      <xdr:colOff>485775</xdr:colOff>
      <xdr:row>25</xdr:row>
      <xdr:rowOff>76200</xdr:rowOff>
    </xdr:to>
    <xdr:graphicFrame macro="">
      <xdr:nvGraphicFramePr>
        <xdr:cNvPr id="2651" name="Chart 1">
          <a:extLst>
            <a:ext uri="{FF2B5EF4-FFF2-40B4-BE49-F238E27FC236}">
              <a16:creationId xmlns:a16="http://schemas.microsoft.com/office/drawing/2014/main" id="{00000000-0008-0000-0600-00005B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142875</xdr:colOff>
      <xdr:row>24</xdr:row>
      <xdr:rowOff>161924</xdr:rowOff>
    </xdr:from>
    <xdr:to>
      <xdr:col>14</xdr:col>
      <xdr:colOff>352425</xdr:colOff>
      <xdr:row>59</xdr:row>
      <xdr:rowOff>123824</xdr:rowOff>
    </xdr:to>
    <xdr:graphicFrame macro="">
      <xdr:nvGraphicFramePr>
        <xdr:cNvPr id="2652" name="Chart 2">
          <a:extLst>
            <a:ext uri="{FF2B5EF4-FFF2-40B4-BE49-F238E27FC236}">
              <a16:creationId xmlns:a16="http://schemas.microsoft.com/office/drawing/2014/main" id="{00000000-0008-0000-0600-00005C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209550</xdr:colOff>
      <xdr:row>0</xdr:row>
      <xdr:rowOff>85725</xdr:rowOff>
    </xdr:from>
    <xdr:to>
      <xdr:col>8</xdr:col>
      <xdr:colOff>114300</xdr:colOff>
      <xdr:row>3</xdr:row>
      <xdr:rowOff>57150</xdr:rowOff>
    </xdr:to>
    <xdr:pic>
      <xdr:nvPicPr>
        <xdr:cNvPr id="2653" name="Picture 392">
          <a:extLst>
            <a:ext uri="{FF2B5EF4-FFF2-40B4-BE49-F238E27FC236}">
              <a16:creationId xmlns:a16="http://schemas.microsoft.com/office/drawing/2014/main" id="{00000000-0008-0000-0600-00005D0A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4048125" y="85725"/>
          <a:ext cx="1676400" cy="457200"/>
        </a:xfrm>
        <a:prstGeom prst="rect">
          <a:avLst/>
        </a:prstGeom>
        <a:noFill/>
        <a:ln w="1">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3</xdr:col>
          <xdr:colOff>657225</xdr:colOff>
          <xdr:row>2</xdr:row>
          <xdr:rowOff>209550</xdr:rowOff>
        </xdr:to>
        <xdr:sp macro="" textlink="">
          <xdr:nvSpPr>
            <xdr:cNvPr id="10242" name="Drop Down 2"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657225</xdr:colOff>
          <xdr:row>3</xdr:row>
          <xdr:rowOff>209550</xdr:rowOff>
        </xdr:to>
        <xdr:sp macro="" textlink="">
          <xdr:nvSpPr>
            <xdr:cNvPr id="10243" name="Drop Down 3"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0</xdr:rowOff>
        </xdr:from>
        <xdr:to>
          <xdr:col>3</xdr:col>
          <xdr:colOff>657225</xdr:colOff>
          <xdr:row>4</xdr:row>
          <xdr:rowOff>209550</xdr:rowOff>
        </xdr:to>
        <xdr:sp macro="" textlink="">
          <xdr:nvSpPr>
            <xdr:cNvPr id="10244" name="Drop Down 4" hidden="1">
              <a:extLst>
                <a:ext uri="{63B3BB69-23CF-44E3-9099-C40C66FF867C}">
                  <a14:compatExt spid="_x0000_s10244"/>
                </a:ext>
                <a:ext uri="{FF2B5EF4-FFF2-40B4-BE49-F238E27FC236}">
                  <a16:creationId xmlns:a16="http://schemas.microsoft.com/office/drawing/2014/main" id="{00000000-0008-0000-07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19050</xdr:colOff>
      <xdr:row>2</xdr:row>
      <xdr:rowOff>19050</xdr:rowOff>
    </xdr:from>
    <xdr:to>
      <xdr:col>4</xdr:col>
      <xdr:colOff>152399</xdr:colOff>
      <xdr:row>4</xdr:row>
      <xdr:rowOff>209550</xdr:rowOff>
    </xdr:to>
    <xdr:sp macro="" textlink="">
      <xdr:nvSpPr>
        <xdr:cNvPr id="8" name="AutoShape 9">
          <a:extLst>
            <a:ext uri="{FF2B5EF4-FFF2-40B4-BE49-F238E27FC236}">
              <a16:creationId xmlns:a16="http://schemas.microsoft.com/office/drawing/2014/main" id="{00000000-0008-0000-0700-000008000000}"/>
            </a:ext>
          </a:extLst>
        </xdr:cNvPr>
        <xdr:cNvSpPr>
          <a:spLocks/>
        </xdr:cNvSpPr>
      </xdr:nvSpPr>
      <xdr:spPr bwMode="auto">
        <a:xfrm>
          <a:off x="3057525" y="257175"/>
          <a:ext cx="133349" cy="628650"/>
        </a:xfrm>
        <a:prstGeom prst="rightBrace">
          <a:avLst>
            <a:gd name="adj1" fmla="val 51852"/>
            <a:gd name="adj2" fmla="val 50000"/>
          </a:avLst>
        </a:prstGeom>
        <a:noFill/>
        <a:ln w="28575">
          <a:solidFill>
            <a:sysClr val="windowText" lastClr="000000"/>
          </a:solidFill>
          <a:round/>
          <a:headEnd/>
          <a:tailEnd/>
        </a:ln>
      </xdr:spPr>
    </xdr:sp>
    <xdr:clientData/>
  </xdr:twoCellAnchor>
  <xdr:twoCellAnchor editAs="oneCell">
    <xdr:from>
      <xdr:col>4</xdr:col>
      <xdr:colOff>219074</xdr:colOff>
      <xdr:row>2</xdr:row>
      <xdr:rowOff>66675</xdr:rowOff>
    </xdr:from>
    <xdr:to>
      <xdr:col>7</xdr:col>
      <xdr:colOff>299084</xdr:colOff>
      <xdr:row>4</xdr:row>
      <xdr:rowOff>146685</xdr:rowOff>
    </xdr:to>
    <xdr:sp macro="" textlink="">
      <xdr:nvSpPr>
        <xdr:cNvPr id="9" name="Text Box 10">
          <a:extLst>
            <a:ext uri="{FF2B5EF4-FFF2-40B4-BE49-F238E27FC236}">
              <a16:creationId xmlns:a16="http://schemas.microsoft.com/office/drawing/2014/main" id="{00000000-0008-0000-0700-000009000000}"/>
            </a:ext>
          </a:extLst>
        </xdr:cNvPr>
        <xdr:cNvSpPr txBox="1">
          <a:spLocks noChangeArrowheads="1"/>
        </xdr:cNvSpPr>
      </xdr:nvSpPr>
      <xdr:spPr bwMode="auto">
        <a:xfrm>
          <a:off x="3257549" y="304800"/>
          <a:ext cx="1895475" cy="504825"/>
        </a:xfrm>
        <a:prstGeom prst="rect">
          <a:avLst/>
        </a:prstGeom>
        <a:solidFill>
          <a:schemeClr val="bg1"/>
        </a:solidFill>
        <a:ln w="9525">
          <a:solidFill>
            <a:sysClr val="windowText" lastClr="000000"/>
          </a:solid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ysClr val="windowText" lastClr="000000"/>
              </a:solidFill>
              <a:latin typeface="Arial"/>
              <a:cs typeface="Arial"/>
            </a:rPr>
            <a:t>Required Inputs for Module configuration </a:t>
          </a:r>
        </a:p>
      </xdr:txBody>
    </xdr:sp>
    <xdr:clientData/>
  </xdr:twoCellAnchor>
  <xdr:twoCellAnchor>
    <xdr:from>
      <xdr:col>4</xdr:col>
      <xdr:colOff>28575</xdr:colOff>
      <xdr:row>5</xdr:row>
      <xdr:rowOff>28574</xdr:rowOff>
    </xdr:from>
    <xdr:to>
      <xdr:col>4</xdr:col>
      <xdr:colOff>104775</xdr:colOff>
      <xdr:row>7</xdr:row>
      <xdr:rowOff>171449</xdr:rowOff>
    </xdr:to>
    <xdr:sp macro="" textlink="">
      <xdr:nvSpPr>
        <xdr:cNvPr id="11" name="AutoShape 9">
          <a:extLst>
            <a:ext uri="{FF2B5EF4-FFF2-40B4-BE49-F238E27FC236}">
              <a16:creationId xmlns:a16="http://schemas.microsoft.com/office/drawing/2014/main" id="{00000000-0008-0000-0700-00000B000000}"/>
            </a:ext>
          </a:extLst>
        </xdr:cNvPr>
        <xdr:cNvSpPr>
          <a:spLocks/>
        </xdr:cNvSpPr>
      </xdr:nvSpPr>
      <xdr:spPr bwMode="auto">
        <a:xfrm>
          <a:off x="3067050" y="923924"/>
          <a:ext cx="76200" cy="523875"/>
        </a:xfrm>
        <a:prstGeom prst="rightBrace">
          <a:avLst>
            <a:gd name="adj1" fmla="val 51852"/>
            <a:gd name="adj2" fmla="val 50000"/>
          </a:avLst>
        </a:prstGeom>
        <a:noFill/>
        <a:ln w="28575">
          <a:solidFill>
            <a:srgbClr val="92D050"/>
          </a:solidFill>
          <a:round/>
          <a:headEnd/>
          <a:tailEnd/>
        </a:ln>
      </xdr:spPr>
    </xdr:sp>
    <xdr:clientData/>
  </xdr:twoCellAnchor>
  <xdr:twoCellAnchor editAs="oneCell">
    <xdr:from>
      <xdr:col>4</xdr:col>
      <xdr:colOff>219074</xdr:colOff>
      <xdr:row>5</xdr:row>
      <xdr:rowOff>114301</xdr:rowOff>
    </xdr:from>
    <xdr:to>
      <xdr:col>7</xdr:col>
      <xdr:colOff>299084</xdr:colOff>
      <xdr:row>7</xdr:row>
      <xdr:rowOff>110490</xdr:rowOff>
    </xdr:to>
    <xdr:sp macro="" textlink="">
      <xdr:nvSpPr>
        <xdr:cNvPr id="12" name="Text Box 10">
          <a:extLst>
            <a:ext uri="{FF2B5EF4-FFF2-40B4-BE49-F238E27FC236}">
              <a16:creationId xmlns:a16="http://schemas.microsoft.com/office/drawing/2014/main" id="{00000000-0008-0000-0700-00000C000000}"/>
            </a:ext>
          </a:extLst>
        </xdr:cNvPr>
        <xdr:cNvSpPr txBox="1">
          <a:spLocks noChangeArrowheads="1"/>
        </xdr:cNvSpPr>
      </xdr:nvSpPr>
      <xdr:spPr bwMode="auto">
        <a:xfrm>
          <a:off x="3257549" y="1009651"/>
          <a:ext cx="1897380" cy="369569"/>
        </a:xfrm>
        <a:prstGeom prst="rect">
          <a:avLst/>
        </a:prstGeom>
        <a:solidFill>
          <a:srgbClr val="92D050"/>
        </a:solidFill>
        <a:ln w="9525">
          <a:solidFill>
            <a:sysClr val="windowText" lastClr="000000"/>
          </a:solid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100" b="1" i="0" u="none" strike="noStrike" baseline="0">
              <a:solidFill>
                <a:schemeClr val="tx1"/>
              </a:solidFill>
              <a:latin typeface="Arial"/>
              <a:cs typeface="Arial"/>
            </a:rPr>
            <a:t>Pulled from "DDR4 Config"</a:t>
          </a:r>
        </a:p>
      </xdr:txBody>
    </xdr:sp>
    <xdr:clientData/>
  </xdr:twoCellAnchor>
  <xdr:twoCellAnchor>
    <xdr:from>
      <xdr:col>4</xdr:col>
      <xdr:colOff>28574</xdr:colOff>
      <xdr:row>8</xdr:row>
      <xdr:rowOff>9523</xdr:rowOff>
    </xdr:from>
    <xdr:to>
      <xdr:col>4</xdr:col>
      <xdr:colOff>133349</xdr:colOff>
      <xdr:row>12</xdr:row>
      <xdr:rowOff>28574</xdr:rowOff>
    </xdr:to>
    <xdr:sp macro="" textlink="">
      <xdr:nvSpPr>
        <xdr:cNvPr id="13" name="AutoShape 9">
          <a:extLst>
            <a:ext uri="{FF2B5EF4-FFF2-40B4-BE49-F238E27FC236}">
              <a16:creationId xmlns:a16="http://schemas.microsoft.com/office/drawing/2014/main" id="{00000000-0008-0000-0700-00000D000000}"/>
            </a:ext>
          </a:extLst>
        </xdr:cNvPr>
        <xdr:cNvSpPr>
          <a:spLocks/>
        </xdr:cNvSpPr>
      </xdr:nvSpPr>
      <xdr:spPr bwMode="auto">
        <a:xfrm>
          <a:off x="3067049" y="1485898"/>
          <a:ext cx="104775" cy="800101"/>
        </a:xfrm>
        <a:prstGeom prst="rightBrace">
          <a:avLst>
            <a:gd name="adj1" fmla="val 51852"/>
            <a:gd name="adj2" fmla="val 50000"/>
          </a:avLst>
        </a:prstGeom>
        <a:noFill/>
        <a:ln w="28575">
          <a:solidFill>
            <a:schemeClr val="accent4">
              <a:lumMod val="40000"/>
              <a:lumOff val="60000"/>
            </a:schemeClr>
          </a:solidFill>
          <a:round/>
          <a:headEnd/>
          <a:tailEnd/>
        </a:ln>
      </xdr:spPr>
    </xdr:sp>
    <xdr:clientData/>
  </xdr:twoCellAnchor>
  <xdr:twoCellAnchor editAs="oneCell">
    <xdr:from>
      <xdr:col>4</xdr:col>
      <xdr:colOff>209550</xdr:colOff>
      <xdr:row>8</xdr:row>
      <xdr:rowOff>142876</xdr:rowOff>
    </xdr:from>
    <xdr:to>
      <xdr:col>7</xdr:col>
      <xdr:colOff>268605</xdr:colOff>
      <xdr:row>11</xdr:row>
      <xdr:rowOff>74295</xdr:rowOff>
    </xdr:to>
    <xdr:sp macro="" textlink="">
      <xdr:nvSpPr>
        <xdr:cNvPr id="14" name="Text Box 10">
          <a:extLst>
            <a:ext uri="{FF2B5EF4-FFF2-40B4-BE49-F238E27FC236}">
              <a16:creationId xmlns:a16="http://schemas.microsoft.com/office/drawing/2014/main" id="{00000000-0008-0000-0700-00000E000000}"/>
            </a:ext>
          </a:extLst>
        </xdr:cNvPr>
        <xdr:cNvSpPr txBox="1">
          <a:spLocks noChangeArrowheads="1"/>
        </xdr:cNvSpPr>
      </xdr:nvSpPr>
      <xdr:spPr bwMode="auto">
        <a:xfrm>
          <a:off x="3248025" y="1857376"/>
          <a:ext cx="1887855" cy="445769"/>
        </a:xfrm>
        <a:prstGeom prst="rect">
          <a:avLst/>
        </a:prstGeom>
        <a:solidFill>
          <a:schemeClr val="accent4">
            <a:lumMod val="20000"/>
            <a:lumOff val="80000"/>
          </a:schemeClr>
        </a:solidFill>
        <a:ln w="9525">
          <a:solidFill>
            <a:sysClr val="windowText" lastClr="000000"/>
          </a:solid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100" b="1" i="0" u="none" strike="noStrike" baseline="0">
              <a:solidFill>
                <a:sysClr val="windowText" lastClr="000000"/>
              </a:solidFill>
              <a:latin typeface="Arial"/>
              <a:cs typeface="Arial"/>
            </a:rPr>
            <a:t>Calculated based on DIMM inputs and package density</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552450</xdr:colOff>
          <xdr:row>1</xdr:row>
          <xdr:rowOff>47625</xdr:rowOff>
        </xdr:from>
        <xdr:to>
          <xdr:col>20</xdr:col>
          <xdr:colOff>600075</xdr:colOff>
          <xdr:row>2</xdr:row>
          <xdr:rowOff>114300</xdr:rowOff>
        </xdr:to>
        <xdr:sp macro="" textlink="">
          <xdr:nvSpPr>
            <xdr:cNvPr id="8193" name="Drop Dow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542925</xdr:colOff>
          <xdr:row>2</xdr:row>
          <xdr:rowOff>47625</xdr:rowOff>
        </xdr:from>
        <xdr:to>
          <xdr:col>20</xdr:col>
          <xdr:colOff>590550</xdr:colOff>
          <xdr:row>3</xdr:row>
          <xdr:rowOff>95250</xdr:rowOff>
        </xdr:to>
        <xdr:sp macro="" textlink="">
          <xdr:nvSpPr>
            <xdr:cNvPr id="8194" name="Drop Down 2" hidden="1">
              <a:extLst>
                <a:ext uri="{63B3BB69-23CF-44E3-9099-C40C66FF867C}">
                  <a14:compatExt spid="_x0000_s8194"/>
                </a:ext>
                <a:ext uri="{FF2B5EF4-FFF2-40B4-BE49-F238E27FC236}">
                  <a16:creationId xmlns:a16="http://schemas.microsoft.com/office/drawing/2014/main" id="{00000000-0008-0000-09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9525</xdr:colOff>
      <xdr:row>1</xdr:row>
      <xdr:rowOff>9525</xdr:rowOff>
    </xdr:from>
    <xdr:to>
      <xdr:col>4</xdr:col>
      <xdr:colOff>171473</xdr:colOff>
      <xdr:row>2</xdr:row>
      <xdr:rowOff>23</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2990850" y="247650"/>
          <a:ext cx="161948" cy="161948"/>
        </a:xfrm>
        <a:prstGeom prst="rect">
          <a:avLst/>
        </a:prstGeom>
      </xdr:spPr>
    </xdr:pic>
    <xdr:clientData/>
  </xdr:twoCellAnchor>
  <xdr:twoCellAnchor editAs="oneCell">
    <xdr:from>
      <xdr:col>4</xdr:col>
      <xdr:colOff>9525</xdr:colOff>
      <xdr:row>2</xdr:row>
      <xdr:rowOff>19050</xdr:rowOff>
    </xdr:from>
    <xdr:to>
      <xdr:col>4</xdr:col>
      <xdr:colOff>171473</xdr:colOff>
      <xdr:row>2</xdr:row>
      <xdr:rowOff>180998</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2990850" y="428625"/>
          <a:ext cx="161948" cy="16194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Fan\Desktop\Micron_cons_calc.xlsm" TargetMode="External"/><Relationship Id="rId1" Type="http://schemas.openxmlformats.org/officeDocument/2006/relationships/externalLinkPath" Target="/Users/Fan/Desktop/Micron_cons_calc.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Fan\Desktop\pow_perf_results.csv" TargetMode="External"/><Relationship Id="rId1" Type="http://schemas.openxmlformats.org/officeDocument/2006/relationships/externalLinkPath" Target="/Users/Fan/Desktop/pow_perf_results.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itle"/>
      <sheetName val="Instructions"/>
      <sheetName val="DDR4 Spec"/>
      <sheetName val="DDR4 Config"/>
      <sheetName val="System Config"/>
      <sheetName val="Power Calcs"/>
      <sheetName val="Summary"/>
      <sheetName val="Timing"/>
    </sheetNames>
    <sheetDataSet>
      <sheetData sheetId="0"/>
      <sheetData sheetId="1"/>
      <sheetData sheetId="2">
        <row r="108">
          <cell r="D108">
            <v>103</v>
          </cell>
        </row>
        <row r="109">
          <cell r="D109">
            <v>8</v>
          </cell>
        </row>
        <row r="110">
          <cell r="D110">
            <v>88</v>
          </cell>
        </row>
        <row r="111">
          <cell r="D111">
            <v>92</v>
          </cell>
        </row>
        <row r="113">
          <cell r="D113">
            <v>140</v>
          </cell>
        </row>
        <row r="114">
          <cell r="D114">
            <v>142</v>
          </cell>
        </row>
      </sheetData>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ow_perf_results"/>
    </sheet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D21"/>
  <sheetViews>
    <sheetView showGridLines="0" zoomScaleNormal="100" workbookViewId="0">
      <selection activeCell="D6" sqref="D6"/>
    </sheetView>
  </sheetViews>
  <sheetFormatPr defaultColWidth="8.85546875" defaultRowHeight="12.75"/>
  <cols>
    <col min="1" max="1" width="3.140625" customWidth="1"/>
    <col min="2" max="2" width="15.140625" customWidth="1"/>
    <col min="3" max="3" width="3.7109375" customWidth="1"/>
    <col min="4" max="4" width="59.42578125" customWidth="1"/>
    <col min="16" max="17" width="8.85546875" customWidth="1"/>
  </cols>
  <sheetData>
    <row r="1" spans="1:4" ht="13.5" thickBot="1">
      <c r="A1" s="22"/>
    </row>
    <row r="2" spans="1:4">
      <c r="B2" s="7" t="s">
        <v>28</v>
      </c>
      <c r="C2" s="8" t="s">
        <v>36</v>
      </c>
      <c r="D2" s="9" t="s">
        <v>227</v>
      </c>
    </row>
    <row r="3" spans="1:4">
      <c r="B3" s="10" t="s">
        <v>29</v>
      </c>
      <c r="C3" s="11" t="s">
        <v>36</v>
      </c>
      <c r="D3" s="224">
        <v>4</v>
      </c>
    </row>
    <row r="4" spans="1:4">
      <c r="B4" s="10" t="s">
        <v>30</v>
      </c>
      <c r="C4" s="11" t="s">
        <v>36</v>
      </c>
      <c r="D4" s="12">
        <v>43655</v>
      </c>
    </row>
    <row r="5" spans="1:4">
      <c r="B5" s="10" t="s">
        <v>464</v>
      </c>
      <c r="C5" s="11" t="s">
        <v>36</v>
      </c>
      <c r="D5" s="13" t="s">
        <v>465</v>
      </c>
    </row>
    <row r="6" spans="1:4">
      <c r="B6" s="10" t="s">
        <v>31</v>
      </c>
      <c r="C6" s="11" t="s">
        <v>36</v>
      </c>
      <c r="D6" s="13" t="s">
        <v>35</v>
      </c>
    </row>
    <row r="7" spans="1:4">
      <c r="B7" s="10"/>
      <c r="C7" s="11"/>
      <c r="D7" s="13"/>
    </row>
    <row r="8" spans="1:4" ht="25.5">
      <c r="B8" s="10" t="s">
        <v>32</v>
      </c>
      <c r="C8" s="11" t="s">
        <v>36</v>
      </c>
      <c r="D8" s="13" t="s">
        <v>239</v>
      </c>
    </row>
    <row r="9" spans="1:4">
      <c r="B9" s="10"/>
      <c r="C9" s="11"/>
      <c r="D9" s="13"/>
    </row>
    <row r="10" spans="1:4">
      <c r="B10" s="10" t="s">
        <v>46</v>
      </c>
      <c r="C10" s="11" t="s">
        <v>36</v>
      </c>
      <c r="D10" s="338" t="s">
        <v>456</v>
      </c>
    </row>
    <row r="11" spans="1:4">
      <c r="B11" s="10"/>
      <c r="C11" s="11"/>
      <c r="D11" s="13"/>
    </row>
    <row r="12" spans="1:4">
      <c r="B12" s="10" t="s">
        <v>33</v>
      </c>
      <c r="C12" s="11" t="s">
        <v>36</v>
      </c>
      <c r="D12" s="13" t="s">
        <v>431</v>
      </c>
    </row>
    <row r="13" spans="1:4">
      <c r="B13" s="10"/>
      <c r="C13" s="11"/>
      <c r="D13" s="13"/>
    </row>
    <row r="14" spans="1:4" ht="127.5">
      <c r="B14" s="10" t="s">
        <v>34</v>
      </c>
      <c r="C14" s="11" t="s">
        <v>36</v>
      </c>
      <c r="D14" s="338" t="s">
        <v>467</v>
      </c>
    </row>
    <row r="15" spans="1:4" ht="25.5">
      <c r="B15" s="10"/>
      <c r="C15" s="11"/>
      <c r="D15" s="13" t="s">
        <v>468</v>
      </c>
    </row>
    <row r="16" spans="1:4">
      <c r="B16" s="10"/>
      <c r="C16" s="11"/>
      <c r="D16" s="13"/>
    </row>
    <row r="17" spans="1:4">
      <c r="B17" s="10"/>
      <c r="C17" s="11"/>
      <c r="D17" s="13" t="s">
        <v>469</v>
      </c>
    </row>
    <row r="18" spans="1:4" ht="13.5" thickBot="1">
      <c r="B18" s="14"/>
      <c r="C18" s="18"/>
      <c r="D18" s="15" t="s">
        <v>113</v>
      </c>
    </row>
    <row r="21" spans="1:4">
      <c r="A21" s="22"/>
    </row>
  </sheetData>
  <phoneticPr fontId="0" type="noConversion"/>
  <printOptions horizontalCentered="1" verticalCentered="1"/>
  <pageMargins left="0.25" right="0.25" top="0.25" bottom="0.25" header="0.5" footer="0.5"/>
  <pageSetup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F69"/>
  <sheetViews>
    <sheetView showGridLines="0" workbookViewId="0"/>
  </sheetViews>
  <sheetFormatPr defaultColWidth="9.140625" defaultRowHeight="12.75"/>
  <cols>
    <col min="1" max="1" width="3.28515625" style="3" customWidth="1"/>
    <col min="2" max="2" width="22" style="3" customWidth="1"/>
    <col min="3" max="3" width="136.42578125" style="3" customWidth="1"/>
    <col min="4" max="4" width="4.42578125" style="3" customWidth="1"/>
    <col min="5" max="16384" width="9.140625" style="3"/>
  </cols>
  <sheetData>
    <row r="1" spans="1:3">
      <c r="A1" s="22"/>
      <c r="C1" s="22"/>
    </row>
    <row r="4" spans="1:3" ht="21.95" customHeight="1">
      <c r="A4" s="45" t="s">
        <v>114</v>
      </c>
      <c r="B4" s="30"/>
      <c r="C4" s="31"/>
    </row>
    <row r="5" spans="1:3" ht="15.75">
      <c r="B5" s="20" t="s">
        <v>228</v>
      </c>
    </row>
    <row r="6" spans="1:3" ht="15.75">
      <c r="B6" s="20"/>
      <c r="C6" s="40" t="s">
        <v>455</v>
      </c>
    </row>
    <row r="7" spans="1:3" s="21" customFormat="1">
      <c r="C7" s="424" t="s">
        <v>255</v>
      </c>
    </row>
    <row r="8" spans="1:3" s="21" customFormat="1">
      <c r="C8" s="424" t="s">
        <v>256</v>
      </c>
    </row>
    <row r="9" spans="1:3" s="21" customFormat="1">
      <c r="C9" s="424" t="s">
        <v>432</v>
      </c>
    </row>
    <row r="10" spans="1:3" s="21" customFormat="1">
      <c r="C10" s="424" t="s">
        <v>308</v>
      </c>
    </row>
    <row r="11" spans="1:3" s="21" customFormat="1">
      <c r="C11" s="424" t="s">
        <v>359</v>
      </c>
    </row>
    <row r="12" spans="1:3" s="21" customFormat="1" ht="25.5">
      <c r="C12" s="424" t="s">
        <v>466</v>
      </c>
    </row>
    <row r="13" spans="1:3" s="21" customFormat="1" ht="25.5">
      <c r="C13" s="424" t="s">
        <v>454</v>
      </c>
    </row>
    <row r="14" spans="1:3" s="21" customFormat="1" ht="12.75" customHeight="1">
      <c r="C14" s="19"/>
    </row>
    <row r="15" spans="1:3" s="21" customFormat="1" ht="15.75">
      <c r="B15" s="20" t="s">
        <v>433</v>
      </c>
    </row>
    <row r="16" spans="1:3" s="21" customFormat="1">
      <c r="C16" s="425" t="s">
        <v>173</v>
      </c>
    </row>
    <row r="17" spans="2:6" s="21" customFormat="1" ht="15.75">
      <c r="B17" s="20"/>
      <c r="C17" s="425" t="s">
        <v>434</v>
      </c>
    </row>
    <row r="18" spans="2:6" s="21" customFormat="1" ht="15.75" customHeight="1">
      <c r="C18" s="425" t="s">
        <v>435</v>
      </c>
    </row>
    <row r="19" spans="2:6" s="21" customFormat="1" ht="15.75" customHeight="1">
      <c r="C19" s="425" t="s">
        <v>436</v>
      </c>
    </row>
    <row r="20" spans="2:6" s="21" customFormat="1" ht="27" customHeight="1">
      <c r="C20" s="425" t="s">
        <v>437</v>
      </c>
    </row>
    <row r="21" spans="2:6" s="21" customFormat="1" ht="15.75" customHeight="1">
      <c r="C21" s="425"/>
    </row>
    <row r="22" spans="2:6" s="21" customFormat="1" ht="15.75" customHeight="1">
      <c r="B22" s="20" t="s">
        <v>280</v>
      </c>
      <c r="C22" s="425"/>
    </row>
    <row r="23" spans="2:6">
      <c r="C23" s="425" t="s">
        <v>172</v>
      </c>
    </row>
    <row r="24" spans="2:6" ht="15.75">
      <c r="B24" s="20"/>
      <c r="C24" s="425" t="s">
        <v>257</v>
      </c>
    </row>
    <row r="25" spans="2:6" s="21" customFormat="1" ht="25.5">
      <c r="C25" s="425" t="s">
        <v>309</v>
      </c>
    </row>
    <row r="26" spans="2:6" s="21" customFormat="1">
      <c r="C26" s="425" t="s">
        <v>258</v>
      </c>
    </row>
    <row r="27" spans="2:6" s="21" customFormat="1">
      <c r="C27" s="425" t="s">
        <v>261</v>
      </c>
    </row>
    <row r="28" spans="2:6" s="21" customFormat="1" ht="18" customHeight="1">
      <c r="C28" s="425" t="s">
        <v>262</v>
      </c>
    </row>
    <row r="29" spans="2:6" s="21" customFormat="1" ht="18" customHeight="1">
      <c r="C29" s="425" t="s">
        <v>265</v>
      </c>
      <c r="F29" s="21" t="s">
        <v>175</v>
      </c>
    </row>
    <row r="30" spans="2:6" s="21" customFormat="1" ht="18" customHeight="1">
      <c r="C30" s="425" t="s">
        <v>266</v>
      </c>
    </row>
    <row r="31" spans="2:6" s="21" customFormat="1" ht="25.5">
      <c r="C31" s="426" t="s">
        <v>450</v>
      </c>
    </row>
    <row r="32" spans="2:6" s="21" customFormat="1">
      <c r="C32" s="426"/>
    </row>
    <row r="33" spans="2:3" s="21" customFormat="1" ht="25.5">
      <c r="C33" s="426" t="s">
        <v>460</v>
      </c>
    </row>
    <row r="34" spans="2:3" s="21" customFormat="1" ht="18" customHeight="1">
      <c r="C34" s="425" t="s">
        <v>438</v>
      </c>
    </row>
    <row r="35" spans="2:3" s="21" customFormat="1" ht="29.25" customHeight="1">
      <c r="C35" s="425" t="s">
        <v>439</v>
      </c>
    </row>
    <row r="36" spans="2:3" s="21" customFormat="1" ht="25.5">
      <c r="C36" s="425" t="s">
        <v>440</v>
      </c>
    </row>
    <row r="37" spans="2:3" s="21" customFormat="1" ht="30.75" customHeight="1">
      <c r="C37" s="425" t="s">
        <v>441</v>
      </c>
    </row>
    <row r="38" spans="2:3" s="21" customFormat="1" ht="30.75" customHeight="1">
      <c r="C38" s="425" t="s">
        <v>442</v>
      </c>
    </row>
    <row r="39" spans="2:3" s="21" customFormat="1" ht="30.75" customHeight="1">
      <c r="C39" s="425" t="s">
        <v>444</v>
      </c>
    </row>
    <row r="40" spans="2:3" s="21" customFormat="1" ht="25.5">
      <c r="C40" s="425" t="s">
        <v>443</v>
      </c>
    </row>
    <row r="41" spans="2:3" s="21" customFormat="1" ht="30.75" customHeight="1">
      <c r="C41" s="425" t="s">
        <v>445</v>
      </c>
    </row>
    <row r="42" spans="2:3" s="21" customFormat="1" ht="30.75" customHeight="1">
      <c r="C42" s="425" t="s">
        <v>446</v>
      </c>
    </row>
    <row r="43" spans="2:3" s="21" customFormat="1" ht="30.75" customHeight="1">
      <c r="C43" s="425" t="s">
        <v>447</v>
      </c>
    </row>
    <row r="44" spans="2:3" s="21" customFormat="1" ht="30.75" customHeight="1">
      <c r="C44" s="425" t="s">
        <v>448</v>
      </c>
    </row>
    <row r="45" spans="2:3" s="21" customFormat="1" ht="30.75" customHeight="1">
      <c r="C45" s="425" t="s">
        <v>449</v>
      </c>
    </row>
    <row r="46" spans="2:3" s="21" customFormat="1" ht="30.75" customHeight="1">
      <c r="C46" s="425" t="s">
        <v>459</v>
      </c>
    </row>
    <row r="47" spans="2:3" s="21" customFormat="1" ht="30.75" customHeight="1">
      <c r="C47" s="425"/>
    </row>
    <row r="48" spans="2:3" ht="15.75">
      <c r="B48" s="20" t="s">
        <v>5</v>
      </c>
      <c r="C48" s="425"/>
    </row>
    <row r="49" spans="2:3" ht="26.25">
      <c r="B49" s="20"/>
      <c r="C49" s="425" t="s">
        <v>115</v>
      </c>
    </row>
    <row r="50" spans="2:3">
      <c r="C50" s="425"/>
    </row>
    <row r="51" spans="2:3" ht="15.75">
      <c r="B51" s="20" t="s">
        <v>6</v>
      </c>
      <c r="C51" s="425"/>
    </row>
    <row r="52" spans="2:3" ht="51">
      <c r="C52" s="425" t="s">
        <v>174</v>
      </c>
    </row>
    <row r="53" spans="2:3">
      <c r="C53" s="19"/>
    </row>
    <row r="54" spans="2:3" ht="15.75">
      <c r="B54" s="20" t="s">
        <v>451</v>
      </c>
      <c r="C54" s="19"/>
    </row>
    <row r="55" spans="2:3" ht="38.25">
      <c r="C55" s="19" t="s">
        <v>452</v>
      </c>
    </row>
    <row r="56" spans="2:3" ht="25.5">
      <c r="C56" s="427" t="s">
        <v>453</v>
      </c>
    </row>
    <row r="57" spans="2:3">
      <c r="C57" s="19"/>
    </row>
    <row r="58" spans="2:3">
      <c r="C58" s="19"/>
    </row>
    <row r="59" spans="2:3">
      <c r="C59" s="19"/>
    </row>
    <row r="60" spans="2:3">
      <c r="C60" s="19"/>
    </row>
    <row r="61" spans="2:3">
      <c r="C61" s="19"/>
    </row>
    <row r="62" spans="2:3">
      <c r="C62" s="19"/>
    </row>
    <row r="63" spans="2:3">
      <c r="C63" s="19"/>
    </row>
    <row r="64" spans="2:3">
      <c r="C64" s="19"/>
    </row>
    <row r="65" spans="3:3">
      <c r="C65" s="19"/>
    </row>
    <row r="66" spans="3:3">
      <c r="C66" s="19"/>
    </row>
    <row r="67" spans="3:3">
      <c r="C67" s="19"/>
    </row>
    <row r="68" spans="3:3">
      <c r="C68" s="19"/>
    </row>
    <row r="69" spans="3:3">
      <c r="C69" s="19"/>
    </row>
  </sheetData>
  <phoneticPr fontId="0" type="noConversion"/>
  <printOptions horizontalCentered="1"/>
  <pageMargins left="0.5" right="0.5" top="1" bottom="0.25" header="0.5" footer="0.5"/>
  <pageSetup scale="60"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BT258"/>
  <sheetViews>
    <sheetView showGridLines="0" topLeftCell="A4" zoomScale="75" zoomScaleNormal="75" workbookViewId="0">
      <selection activeCell="AA52" sqref="AA52"/>
    </sheetView>
  </sheetViews>
  <sheetFormatPr defaultColWidth="8.85546875" defaultRowHeight="12.75" outlineLevelCol="1"/>
  <cols>
    <col min="1" max="1" width="5.28515625" customWidth="1"/>
    <col min="2" max="2" width="15.7109375" customWidth="1"/>
    <col min="3" max="3" width="40.140625" style="26" customWidth="1"/>
    <col min="4" max="4" width="14.7109375" customWidth="1"/>
    <col min="5" max="5" width="6.85546875" customWidth="1" outlineLevel="1"/>
    <col min="6" max="6" width="5.140625" style="27" customWidth="1" outlineLevel="1"/>
    <col min="7" max="14" width="6.85546875" style="27" hidden="1" customWidth="1" outlineLevel="1"/>
    <col min="15" max="15" width="3.140625" style="27" hidden="1" customWidth="1"/>
    <col min="16" max="25" width="6.85546875" style="27" hidden="1" customWidth="1" outlineLevel="1"/>
    <col min="26" max="26" width="1.85546875" style="27" hidden="1" customWidth="1" collapsed="1"/>
    <col min="27" max="36" width="6.85546875" style="27" customWidth="1" outlineLevel="1"/>
    <col min="37" max="37" width="6.85546875" style="27" customWidth="1"/>
    <col min="38" max="38" width="8.42578125" customWidth="1"/>
    <col min="39" max="61" width="8.42578125" style="27" customWidth="1"/>
    <col min="62" max="67" width="8.42578125" customWidth="1"/>
    <col min="68" max="72" width="8.42578125" style="27" customWidth="1"/>
    <col min="73" max="78" width="8.42578125" customWidth="1"/>
  </cols>
  <sheetData>
    <row r="1" spans="2:72" ht="6.75" customHeight="1">
      <c r="B1" s="22"/>
      <c r="C1"/>
      <c r="M1"/>
      <c r="N1"/>
      <c r="AK1"/>
      <c r="AM1"/>
      <c r="AN1"/>
      <c r="AO1"/>
      <c r="AP1"/>
      <c r="AQ1"/>
      <c r="AR1"/>
      <c r="AS1"/>
      <c r="AT1"/>
      <c r="AU1"/>
      <c r="AV1"/>
      <c r="AW1"/>
      <c r="AX1"/>
      <c r="AY1"/>
      <c r="AZ1"/>
      <c r="BA1"/>
      <c r="BB1"/>
      <c r="BC1"/>
      <c r="BD1"/>
      <c r="BE1"/>
      <c r="BF1"/>
      <c r="BG1"/>
      <c r="BH1"/>
      <c r="BI1"/>
      <c r="BP1"/>
      <c r="BQ1"/>
      <c r="BR1"/>
      <c r="BS1"/>
      <c r="BT1"/>
    </row>
    <row r="2" spans="2:72" ht="6.75" customHeight="1">
      <c r="C2"/>
      <c r="D2" s="27"/>
      <c r="E2" s="27"/>
      <c r="AK2"/>
      <c r="AM2"/>
      <c r="AN2"/>
      <c r="AO2"/>
      <c r="AP2"/>
      <c r="AQ2"/>
      <c r="AR2"/>
      <c r="AS2"/>
      <c r="AT2"/>
      <c r="AU2"/>
      <c r="AV2"/>
      <c r="AW2"/>
      <c r="AX2"/>
      <c r="AY2"/>
      <c r="AZ2"/>
      <c r="BA2"/>
      <c r="BB2"/>
      <c r="BC2"/>
      <c r="BD2"/>
      <c r="BE2"/>
      <c r="BF2"/>
      <c r="BG2"/>
      <c r="BH2"/>
      <c r="BI2"/>
      <c r="BP2"/>
      <c r="BQ2"/>
      <c r="BR2"/>
      <c r="BS2"/>
      <c r="BT2"/>
    </row>
    <row r="3" spans="2:72" ht="22.5" customHeight="1">
      <c r="C3"/>
      <c r="D3" s="27"/>
      <c r="E3" s="27"/>
      <c r="Q3" s="27" t="s">
        <v>175</v>
      </c>
      <c r="R3" s="27" t="s">
        <v>175</v>
      </c>
      <c r="Y3" s="115"/>
      <c r="AK3"/>
      <c r="AM3"/>
      <c r="AN3"/>
      <c r="AO3"/>
      <c r="AP3"/>
      <c r="AQ3"/>
      <c r="AR3"/>
      <c r="AS3"/>
      <c r="AT3"/>
      <c r="AU3"/>
      <c r="AV3"/>
      <c r="AW3"/>
      <c r="AX3"/>
      <c r="AY3"/>
      <c r="AZ3"/>
      <c r="BA3"/>
      <c r="BB3"/>
      <c r="BC3"/>
      <c r="BD3"/>
      <c r="BE3"/>
      <c r="BF3"/>
      <c r="BG3"/>
      <c r="BH3"/>
      <c r="BI3"/>
      <c r="BP3"/>
      <c r="BQ3"/>
      <c r="BR3"/>
      <c r="BS3"/>
      <c r="BT3"/>
    </row>
    <row r="4" spans="2:72" ht="17.100000000000001" customHeight="1">
      <c r="B4" s="37"/>
      <c r="C4" s="38"/>
      <c r="D4" s="37"/>
      <c r="E4" s="290" t="s">
        <v>155</v>
      </c>
      <c r="F4" s="290" t="s">
        <v>155</v>
      </c>
      <c r="G4" s="290" t="s">
        <v>155</v>
      </c>
      <c r="H4" s="290" t="s">
        <v>155</v>
      </c>
      <c r="I4" s="290" t="s">
        <v>155</v>
      </c>
      <c r="J4" s="290" t="s">
        <v>155</v>
      </c>
      <c r="K4" s="290" t="s">
        <v>155</v>
      </c>
      <c r="L4" s="290" t="s">
        <v>155</v>
      </c>
      <c r="M4" s="290" t="s">
        <v>155</v>
      </c>
      <c r="N4" s="290" t="s">
        <v>155</v>
      </c>
      <c r="O4" s="39"/>
      <c r="P4" s="290" t="s">
        <v>213</v>
      </c>
      <c r="Q4" s="290" t="s">
        <v>213</v>
      </c>
      <c r="R4" s="290" t="s">
        <v>213</v>
      </c>
      <c r="S4" s="290" t="s">
        <v>213</v>
      </c>
      <c r="T4" s="290" t="s">
        <v>213</v>
      </c>
      <c r="U4" s="290" t="s">
        <v>213</v>
      </c>
      <c r="V4" s="290" t="s">
        <v>213</v>
      </c>
      <c r="W4" s="290" t="s">
        <v>213</v>
      </c>
      <c r="X4" s="290" t="s">
        <v>213</v>
      </c>
      <c r="Y4" s="290" t="s">
        <v>213</v>
      </c>
      <c r="Z4" s="39"/>
      <c r="AA4" s="290" t="s">
        <v>214</v>
      </c>
      <c r="AB4" s="290" t="s">
        <v>214</v>
      </c>
      <c r="AC4" s="290" t="s">
        <v>214</v>
      </c>
      <c r="AD4" s="290" t="s">
        <v>214</v>
      </c>
      <c r="AE4" s="290" t="s">
        <v>214</v>
      </c>
      <c r="AF4" s="290" t="s">
        <v>214</v>
      </c>
      <c r="AG4" s="290" t="s">
        <v>214</v>
      </c>
      <c r="AH4" s="290" t="s">
        <v>214</v>
      </c>
      <c r="AI4" s="290" t="s">
        <v>214</v>
      </c>
      <c r="AJ4" s="290" t="s">
        <v>214</v>
      </c>
      <c r="AK4" s="32"/>
      <c r="AM4"/>
      <c r="AN4"/>
      <c r="AO4"/>
      <c r="AP4"/>
      <c r="AQ4"/>
      <c r="AR4"/>
      <c r="AS4"/>
      <c r="AT4"/>
      <c r="AU4"/>
      <c r="AV4"/>
      <c r="AW4"/>
      <c r="AX4"/>
      <c r="AY4"/>
      <c r="AZ4"/>
      <c r="BA4"/>
      <c r="BB4"/>
      <c r="BC4"/>
      <c r="BD4"/>
      <c r="BE4"/>
      <c r="BF4"/>
      <c r="BG4"/>
      <c r="BH4"/>
      <c r="BI4"/>
      <c r="BP4"/>
      <c r="BQ4"/>
      <c r="BR4"/>
      <c r="BS4"/>
      <c r="BT4"/>
    </row>
    <row r="5" spans="2:72" ht="15">
      <c r="B5" s="464"/>
      <c r="C5" s="465"/>
      <c r="D5" s="466"/>
      <c r="E5" s="62">
        <v>1866</v>
      </c>
      <c r="F5" s="62">
        <v>2133</v>
      </c>
      <c r="G5" s="62">
        <v>2133</v>
      </c>
      <c r="H5" s="62">
        <v>2400</v>
      </c>
      <c r="I5" s="62">
        <v>2400</v>
      </c>
      <c r="J5" s="62">
        <v>2666</v>
      </c>
      <c r="K5" s="62">
        <v>2666</v>
      </c>
      <c r="L5" s="62">
        <v>2933</v>
      </c>
      <c r="M5" s="62">
        <v>2933</v>
      </c>
      <c r="N5" s="62">
        <v>3200</v>
      </c>
      <c r="O5" s="67"/>
      <c r="P5" s="62">
        <v>1866</v>
      </c>
      <c r="Q5" s="62">
        <v>2133</v>
      </c>
      <c r="R5" s="62">
        <v>2133</v>
      </c>
      <c r="S5" s="62">
        <v>2400</v>
      </c>
      <c r="T5" s="62">
        <v>2400</v>
      </c>
      <c r="U5" s="62">
        <v>2666</v>
      </c>
      <c r="V5" s="62">
        <v>2666</v>
      </c>
      <c r="W5" s="62">
        <v>2933</v>
      </c>
      <c r="X5" s="62">
        <v>2933</v>
      </c>
      <c r="Y5" s="62">
        <v>3200</v>
      </c>
      <c r="Z5" s="67"/>
      <c r="AA5" s="62">
        <v>4800</v>
      </c>
      <c r="AB5" s="62">
        <v>2133</v>
      </c>
      <c r="AC5" s="62">
        <v>2133</v>
      </c>
      <c r="AD5" s="62">
        <v>2400</v>
      </c>
      <c r="AE5" s="62">
        <v>2400</v>
      </c>
      <c r="AF5" s="62">
        <v>2666</v>
      </c>
      <c r="AG5" s="62">
        <v>2666</v>
      </c>
      <c r="AH5" s="62">
        <v>2933</v>
      </c>
      <c r="AI5" s="62">
        <v>2933</v>
      </c>
      <c r="AJ5" s="62">
        <v>3200</v>
      </c>
      <c r="AK5" s="36"/>
      <c r="AM5"/>
      <c r="AN5"/>
      <c r="AO5"/>
      <c r="AP5"/>
      <c r="AQ5"/>
      <c r="AR5"/>
      <c r="AS5"/>
      <c r="AT5"/>
      <c r="AU5"/>
      <c r="AV5"/>
      <c r="AW5"/>
      <c r="AX5"/>
      <c r="AY5"/>
      <c r="AZ5"/>
      <c r="BA5"/>
      <c r="BB5"/>
      <c r="BC5"/>
      <c r="BD5"/>
      <c r="BE5"/>
      <c r="BF5"/>
      <c r="BG5"/>
      <c r="BH5"/>
      <c r="BI5"/>
      <c r="BP5"/>
      <c r="BQ5"/>
      <c r="BR5"/>
      <c r="BS5"/>
      <c r="BT5"/>
    </row>
    <row r="6" spans="2:72" ht="17.100000000000001" customHeight="1">
      <c r="B6" s="60" t="s">
        <v>41</v>
      </c>
      <c r="C6" s="61" t="s">
        <v>42</v>
      </c>
      <c r="D6" s="60"/>
      <c r="E6" s="62" t="s">
        <v>176</v>
      </c>
      <c r="F6" s="62" t="s">
        <v>177</v>
      </c>
      <c r="G6" s="62" t="s">
        <v>178</v>
      </c>
      <c r="H6" s="62" t="s">
        <v>215</v>
      </c>
      <c r="I6" s="62" t="s">
        <v>216</v>
      </c>
      <c r="J6" s="62" t="s">
        <v>217</v>
      </c>
      <c r="K6" s="62" t="s">
        <v>218</v>
      </c>
      <c r="L6" s="62" t="s">
        <v>298</v>
      </c>
      <c r="M6" s="62" t="s">
        <v>299</v>
      </c>
      <c r="N6" s="62" t="s">
        <v>297</v>
      </c>
      <c r="O6" s="63"/>
      <c r="P6" s="62" t="s">
        <v>176</v>
      </c>
      <c r="Q6" s="62" t="s">
        <v>177</v>
      </c>
      <c r="R6" s="62" t="s">
        <v>178</v>
      </c>
      <c r="S6" s="62" t="s">
        <v>215</v>
      </c>
      <c r="T6" s="62" t="s">
        <v>216</v>
      </c>
      <c r="U6" s="62" t="s">
        <v>217</v>
      </c>
      <c r="V6" s="62" t="s">
        <v>218</v>
      </c>
      <c r="W6" s="62" t="s">
        <v>298</v>
      </c>
      <c r="X6" s="62" t="s">
        <v>299</v>
      </c>
      <c r="Y6" s="62" t="s">
        <v>297</v>
      </c>
      <c r="Z6" s="63"/>
      <c r="AA6" s="62" t="s">
        <v>215</v>
      </c>
      <c r="AB6" s="62" t="s">
        <v>177</v>
      </c>
      <c r="AC6" s="62" t="s">
        <v>178</v>
      </c>
      <c r="AD6" s="62" t="s">
        <v>215</v>
      </c>
      <c r="AE6" s="62" t="s">
        <v>216</v>
      </c>
      <c r="AF6" s="62" t="s">
        <v>217</v>
      </c>
      <c r="AG6" s="62" t="s">
        <v>218</v>
      </c>
      <c r="AH6" s="62" t="s">
        <v>298</v>
      </c>
      <c r="AI6" s="62" t="s">
        <v>299</v>
      </c>
      <c r="AJ6" s="62" t="s">
        <v>297</v>
      </c>
      <c r="AK6" s="32"/>
      <c r="AM6"/>
      <c r="AN6"/>
      <c r="AO6"/>
      <c r="AP6"/>
      <c r="AQ6"/>
      <c r="AR6"/>
      <c r="AS6"/>
      <c r="AT6"/>
      <c r="AU6"/>
      <c r="AV6"/>
      <c r="AW6"/>
      <c r="AX6"/>
      <c r="AY6"/>
      <c r="AZ6"/>
      <c r="BA6"/>
      <c r="BB6"/>
      <c r="BC6"/>
      <c r="BD6"/>
      <c r="BE6"/>
      <c r="BF6"/>
      <c r="BG6"/>
      <c r="BH6"/>
      <c r="BI6"/>
      <c r="BP6"/>
      <c r="BQ6"/>
      <c r="BR6"/>
      <c r="BS6"/>
      <c r="BT6"/>
    </row>
    <row r="7" spans="2:72" ht="15">
      <c r="B7" s="50" t="s">
        <v>351</v>
      </c>
      <c r="C7" s="437" t="s">
        <v>164</v>
      </c>
      <c r="D7" s="437"/>
      <c r="E7" s="183">
        <v>1.26</v>
      </c>
      <c r="F7" s="183">
        <v>1.26</v>
      </c>
      <c r="G7" s="183">
        <v>1.26</v>
      </c>
      <c r="H7" s="183">
        <v>1.26</v>
      </c>
      <c r="I7" s="183">
        <v>1.26</v>
      </c>
      <c r="J7" s="183">
        <v>1.26</v>
      </c>
      <c r="K7" s="183">
        <v>1.26</v>
      </c>
      <c r="L7" s="183">
        <v>1.26</v>
      </c>
      <c r="M7" s="183">
        <v>1.26</v>
      </c>
      <c r="N7" s="183">
        <v>1.26</v>
      </c>
      <c r="O7" s="64"/>
      <c r="P7" s="183">
        <v>1.26</v>
      </c>
      <c r="Q7" s="183">
        <v>1.26</v>
      </c>
      <c r="R7" s="183">
        <v>1.26</v>
      </c>
      <c r="S7" s="183">
        <v>1.26</v>
      </c>
      <c r="T7" s="183">
        <v>1.26</v>
      </c>
      <c r="U7" s="183">
        <v>1.26</v>
      </c>
      <c r="V7" s="183">
        <v>1.26</v>
      </c>
      <c r="W7" s="183">
        <v>1.26</v>
      </c>
      <c r="X7" s="183">
        <v>1.26</v>
      </c>
      <c r="Y7" s="183">
        <v>1.26</v>
      </c>
      <c r="Z7" s="64"/>
      <c r="AA7" s="183">
        <v>1.1000000000000001</v>
      </c>
      <c r="AB7" s="183">
        <v>1.26</v>
      </c>
      <c r="AC7" s="183">
        <v>1.26</v>
      </c>
      <c r="AD7" s="183">
        <v>1.26</v>
      </c>
      <c r="AE7" s="183">
        <v>1.26</v>
      </c>
      <c r="AF7" s="183">
        <v>1.26</v>
      </c>
      <c r="AG7" s="183">
        <v>1.26</v>
      </c>
      <c r="AH7" s="183">
        <v>1.26</v>
      </c>
      <c r="AI7" s="183">
        <v>1.26</v>
      </c>
      <c r="AJ7" s="183">
        <v>1.26</v>
      </c>
      <c r="AK7" s="35" t="s">
        <v>10</v>
      </c>
      <c r="AM7"/>
      <c r="AN7"/>
      <c r="AO7"/>
      <c r="AP7"/>
      <c r="AQ7"/>
      <c r="AR7"/>
      <c r="AS7"/>
      <c r="AT7"/>
      <c r="AU7"/>
      <c r="AV7"/>
      <c r="AW7"/>
      <c r="AX7"/>
      <c r="AY7"/>
      <c r="AZ7"/>
      <c r="BA7"/>
      <c r="BB7"/>
      <c r="BC7"/>
      <c r="BD7"/>
      <c r="BE7"/>
      <c r="BF7"/>
      <c r="BG7"/>
      <c r="BH7"/>
      <c r="BI7"/>
      <c r="BP7"/>
      <c r="BQ7"/>
      <c r="BR7"/>
      <c r="BS7"/>
      <c r="BT7"/>
    </row>
    <row r="8" spans="2:72" ht="15">
      <c r="B8" s="50" t="s">
        <v>352</v>
      </c>
      <c r="C8" s="437" t="s">
        <v>165</v>
      </c>
      <c r="D8" s="437"/>
      <c r="E8" s="183">
        <v>1.1399999999999999</v>
      </c>
      <c r="F8" s="183">
        <v>1.1399999999999999</v>
      </c>
      <c r="G8" s="183">
        <v>1.1399999999999999</v>
      </c>
      <c r="H8" s="183">
        <v>1.1399999999999999</v>
      </c>
      <c r="I8" s="183">
        <v>1.1399999999999999</v>
      </c>
      <c r="J8" s="183">
        <v>1.1399999999999999</v>
      </c>
      <c r="K8" s="183">
        <v>1.1399999999999999</v>
      </c>
      <c r="L8" s="183">
        <v>1.1399999999999999</v>
      </c>
      <c r="M8" s="183">
        <v>1.1399999999999999</v>
      </c>
      <c r="N8" s="183">
        <v>1.1399999999999999</v>
      </c>
      <c r="O8" s="64"/>
      <c r="P8" s="183">
        <v>1.1399999999999999</v>
      </c>
      <c r="Q8" s="183">
        <v>1.1399999999999999</v>
      </c>
      <c r="R8" s="183">
        <v>1.1399999999999999</v>
      </c>
      <c r="S8" s="183">
        <v>1.1399999999999999</v>
      </c>
      <c r="T8" s="183">
        <v>1.1399999999999999</v>
      </c>
      <c r="U8" s="183">
        <v>1.1399999999999999</v>
      </c>
      <c r="V8" s="183">
        <v>1.1399999999999999</v>
      </c>
      <c r="W8" s="183">
        <v>1.1399999999999999</v>
      </c>
      <c r="X8" s="183">
        <v>1.1399999999999999</v>
      </c>
      <c r="Y8" s="183">
        <v>1.1399999999999999</v>
      </c>
      <c r="Z8" s="64"/>
      <c r="AA8" s="183">
        <v>1.1000000000000001</v>
      </c>
      <c r="AB8" s="183">
        <v>1.1399999999999999</v>
      </c>
      <c r="AC8" s="183">
        <v>1.1399999999999999</v>
      </c>
      <c r="AD8" s="183">
        <v>1.1399999999999999</v>
      </c>
      <c r="AE8" s="183">
        <v>1.1399999999999999</v>
      </c>
      <c r="AF8" s="183">
        <v>1.1399999999999999</v>
      </c>
      <c r="AG8" s="183">
        <v>1.1399999999999999</v>
      </c>
      <c r="AH8" s="183">
        <v>1.1399999999999999</v>
      </c>
      <c r="AI8" s="183">
        <v>1.1399999999999999</v>
      </c>
      <c r="AJ8" s="183">
        <v>1.1399999999999999</v>
      </c>
      <c r="AK8" s="35" t="s">
        <v>10</v>
      </c>
      <c r="AM8"/>
      <c r="AN8"/>
      <c r="AO8"/>
      <c r="AP8"/>
      <c r="AQ8"/>
      <c r="AR8"/>
      <c r="AS8"/>
      <c r="AT8"/>
      <c r="AU8"/>
      <c r="AV8"/>
      <c r="AW8"/>
      <c r="AX8"/>
      <c r="AY8"/>
      <c r="AZ8"/>
      <c r="BA8"/>
      <c r="BB8"/>
      <c r="BC8"/>
      <c r="BD8"/>
      <c r="BE8"/>
      <c r="BF8"/>
      <c r="BG8"/>
      <c r="BH8"/>
      <c r="BI8"/>
      <c r="BP8"/>
      <c r="BQ8"/>
      <c r="BR8"/>
      <c r="BS8"/>
      <c r="BT8"/>
    </row>
    <row r="9" spans="2:72" ht="15">
      <c r="B9" s="50" t="s">
        <v>353</v>
      </c>
      <c r="C9" s="467" t="s">
        <v>242</v>
      </c>
      <c r="D9" s="468"/>
      <c r="E9" s="183">
        <v>2.75</v>
      </c>
      <c r="F9" s="183">
        <v>2.75</v>
      </c>
      <c r="G9" s="183">
        <v>2.75</v>
      </c>
      <c r="H9" s="183">
        <v>2.75</v>
      </c>
      <c r="I9" s="183">
        <v>2.75</v>
      </c>
      <c r="J9" s="183">
        <v>2.75</v>
      </c>
      <c r="K9" s="183">
        <v>2.75</v>
      </c>
      <c r="L9" s="183">
        <v>2.75</v>
      </c>
      <c r="M9" s="183">
        <v>2.75</v>
      </c>
      <c r="N9" s="183">
        <v>2.75</v>
      </c>
      <c r="O9" s="64"/>
      <c r="P9" s="183">
        <v>2.75</v>
      </c>
      <c r="Q9" s="183">
        <v>2.75</v>
      </c>
      <c r="R9" s="183">
        <v>2.75</v>
      </c>
      <c r="S9" s="183">
        <v>2.75</v>
      </c>
      <c r="T9" s="183">
        <v>2.75</v>
      </c>
      <c r="U9" s="183">
        <v>2.75</v>
      </c>
      <c r="V9" s="183">
        <v>2.75</v>
      </c>
      <c r="W9" s="183">
        <v>2.75</v>
      </c>
      <c r="X9" s="183">
        <v>2.75</v>
      </c>
      <c r="Y9" s="183">
        <v>2.75</v>
      </c>
      <c r="Z9" s="64"/>
      <c r="AA9" s="183">
        <v>1.8</v>
      </c>
      <c r="AB9" s="183">
        <v>2.75</v>
      </c>
      <c r="AC9" s="183">
        <v>2.75</v>
      </c>
      <c r="AD9" s="183">
        <v>2.75</v>
      </c>
      <c r="AE9" s="183">
        <v>2.75</v>
      </c>
      <c r="AF9" s="183">
        <v>2.75</v>
      </c>
      <c r="AG9" s="183">
        <v>2.75</v>
      </c>
      <c r="AH9" s="183">
        <v>2.75</v>
      </c>
      <c r="AI9" s="183">
        <v>2.75</v>
      </c>
      <c r="AJ9" s="183">
        <v>2.75</v>
      </c>
      <c r="AK9" s="35" t="s">
        <v>10</v>
      </c>
      <c r="AM9"/>
      <c r="AN9"/>
      <c r="AO9"/>
      <c r="AP9"/>
      <c r="AQ9"/>
      <c r="AR9"/>
      <c r="AS9"/>
      <c r="AT9"/>
      <c r="AU9"/>
      <c r="AV9"/>
      <c r="AW9"/>
      <c r="AX9"/>
      <c r="AY9"/>
      <c r="AZ9"/>
      <c r="BA9"/>
      <c r="BB9"/>
      <c r="BC9"/>
      <c r="BD9"/>
      <c r="BE9"/>
      <c r="BF9"/>
      <c r="BG9"/>
      <c r="BH9"/>
      <c r="BI9"/>
      <c r="BP9"/>
      <c r="BQ9"/>
      <c r="BR9"/>
      <c r="BS9"/>
      <c r="BT9"/>
    </row>
    <row r="10" spans="2:72" ht="18.75" customHeight="1">
      <c r="B10" s="50" t="s">
        <v>354</v>
      </c>
      <c r="C10" s="467" t="s">
        <v>241</v>
      </c>
      <c r="D10" s="468"/>
      <c r="E10" s="183">
        <v>2.375</v>
      </c>
      <c r="F10" s="183">
        <v>2.375</v>
      </c>
      <c r="G10" s="183">
        <v>2.375</v>
      </c>
      <c r="H10" s="183">
        <v>2.375</v>
      </c>
      <c r="I10" s="183">
        <v>2.375</v>
      </c>
      <c r="J10" s="183">
        <v>2.375</v>
      </c>
      <c r="K10" s="183">
        <v>2.375</v>
      </c>
      <c r="L10" s="183">
        <v>2.375</v>
      </c>
      <c r="M10" s="183">
        <v>2.375</v>
      </c>
      <c r="N10" s="183">
        <v>2.375</v>
      </c>
      <c r="O10" s="64"/>
      <c r="P10" s="183">
        <v>2.375</v>
      </c>
      <c r="Q10" s="183">
        <v>2.375</v>
      </c>
      <c r="R10" s="183">
        <v>2.375</v>
      </c>
      <c r="S10" s="183">
        <v>2.375</v>
      </c>
      <c r="T10" s="183">
        <v>2.375</v>
      </c>
      <c r="U10" s="183">
        <v>2.375</v>
      </c>
      <c r="V10" s="183">
        <v>2.375</v>
      </c>
      <c r="W10" s="183">
        <v>2.375</v>
      </c>
      <c r="X10" s="183">
        <v>2.375</v>
      </c>
      <c r="Y10" s="183">
        <v>2.375</v>
      </c>
      <c r="Z10" s="64"/>
      <c r="AA10" s="183">
        <v>1.8</v>
      </c>
      <c r="AB10" s="183">
        <v>2.375</v>
      </c>
      <c r="AC10" s="183">
        <v>2.375</v>
      </c>
      <c r="AD10" s="183">
        <v>2.375</v>
      </c>
      <c r="AE10" s="183">
        <v>2.375</v>
      </c>
      <c r="AF10" s="183">
        <v>2.375</v>
      </c>
      <c r="AG10" s="183">
        <v>2.375</v>
      </c>
      <c r="AH10" s="183">
        <v>2.375</v>
      </c>
      <c r="AI10" s="183">
        <v>2.375</v>
      </c>
      <c r="AJ10" s="183">
        <v>2.375</v>
      </c>
      <c r="AK10" s="35" t="s">
        <v>10</v>
      </c>
      <c r="AM10"/>
      <c r="AN10"/>
      <c r="AO10"/>
      <c r="AP10"/>
      <c r="AQ10"/>
      <c r="AR10"/>
      <c r="AS10"/>
      <c r="AT10"/>
      <c r="AU10"/>
      <c r="AV10"/>
      <c r="AW10"/>
      <c r="AX10"/>
      <c r="AY10"/>
      <c r="AZ10"/>
      <c r="BA10"/>
      <c r="BB10"/>
      <c r="BC10"/>
      <c r="BD10"/>
      <c r="BE10"/>
      <c r="BF10"/>
      <c r="BG10"/>
      <c r="BH10"/>
      <c r="BI10"/>
      <c r="BP10"/>
      <c r="BQ10"/>
      <c r="BR10"/>
      <c r="BS10"/>
      <c r="BT10"/>
    </row>
    <row r="11" spans="2:72" s="252" customFormat="1" ht="11.25" customHeight="1">
      <c r="B11" s="432"/>
      <c r="C11" s="433"/>
      <c r="D11" s="436"/>
      <c r="E11" s="300"/>
      <c r="F11" s="300"/>
      <c r="G11" s="300"/>
      <c r="H11" s="300"/>
      <c r="I11" s="300"/>
      <c r="J11" s="300"/>
      <c r="K11" s="300"/>
      <c r="L11" s="300"/>
      <c r="M11" s="301"/>
      <c r="N11" s="301"/>
      <c r="O11" s="303" t="s">
        <v>355</v>
      </c>
      <c r="P11" s="300"/>
      <c r="Q11" s="300"/>
      <c r="R11" s="300"/>
      <c r="S11" s="300"/>
      <c r="T11" s="300"/>
      <c r="U11" s="300"/>
      <c r="V11" s="300"/>
      <c r="W11" s="300"/>
      <c r="X11" s="300"/>
      <c r="Y11" s="301"/>
      <c r="Z11" s="300"/>
      <c r="AA11" s="300"/>
      <c r="AB11" s="300"/>
      <c r="AC11" s="300"/>
      <c r="AD11" s="300"/>
      <c r="AE11" s="300"/>
      <c r="AF11" s="300"/>
      <c r="AG11" s="300"/>
      <c r="AH11" s="300"/>
      <c r="AI11" s="301"/>
      <c r="AJ11" s="301"/>
      <c r="AK11" s="302"/>
    </row>
    <row r="12" spans="2:72" s="252" customFormat="1" ht="9" customHeight="1">
      <c r="B12" s="434"/>
      <c r="C12" s="435"/>
      <c r="D12" s="436"/>
      <c r="E12" s="300"/>
      <c r="F12" s="300"/>
      <c r="G12" s="300"/>
      <c r="H12" s="300"/>
      <c r="I12" s="300"/>
      <c r="J12" s="300"/>
      <c r="K12" s="300"/>
      <c r="L12" s="300"/>
      <c r="M12" s="301"/>
      <c r="N12" s="301"/>
      <c r="O12" s="303" t="s">
        <v>356</v>
      </c>
      <c r="P12" s="300"/>
      <c r="Q12" s="300"/>
      <c r="R12" s="300"/>
      <c r="S12" s="300"/>
      <c r="T12" s="300"/>
      <c r="U12" s="300"/>
      <c r="V12" s="300"/>
      <c r="W12" s="300"/>
      <c r="X12" s="300"/>
      <c r="Y12" s="301"/>
      <c r="Z12" s="300"/>
      <c r="AA12" s="300"/>
      <c r="AB12" s="300"/>
      <c r="AC12" s="300"/>
      <c r="AD12" s="300"/>
      <c r="AE12" s="300"/>
      <c r="AF12" s="300"/>
      <c r="AG12" s="300"/>
      <c r="AH12" s="300"/>
      <c r="AI12" s="301"/>
      <c r="AJ12" s="301"/>
      <c r="AK12" s="302"/>
    </row>
    <row r="13" spans="2:72" ht="14.1" customHeight="1">
      <c r="B13" s="445" t="s">
        <v>157</v>
      </c>
      <c r="C13" s="442" t="s">
        <v>219</v>
      </c>
      <c r="D13" s="65" t="s">
        <v>80</v>
      </c>
      <c r="E13" s="291"/>
      <c r="F13" s="291"/>
      <c r="G13" s="291"/>
      <c r="H13" s="291"/>
      <c r="I13" s="291"/>
      <c r="J13" s="291"/>
      <c r="K13" s="291"/>
      <c r="L13" s="291"/>
      <c r="M13" s="291"/>
      <c r="N13" s="291"/>
      <c r="O13" s="293"/>
      <c r="P13" s="291"/>
      <c r="Q13" s="291"/>
      <c r="R13" s="291"/>
      <c r="S13" s="291"/>
      <c r="T13" s="291"/>
      <c r="U13" s="372"/>
      <c r="V13" s="291"/>
      <c r="W13" s="291"/>
      <c r="X13" s="291"/>
      <c r="Y13" s="291"/>
      <c r="Z13" s="296"/>
      <c r="AA13" s="428">
        <v>103</v>
      </c>
      <c r="AB13" s="291"/>
      <c r="AC13" s="291"/>
      <c r="AD13" s="291"/>
      <c r="AE13" s="291"/>
      <c r="AF13" s="369"/>
      <c r="AG13" s="291"/>
      <c r="AH13" s="291"/>
      <c r="AI13" s="291"/>
      <c r="AJ13" s="291"/>
      <c r="AK13" s="35" t="s">
        <v>11</v>
      </c>
      <c r="AM13"/>
      <c r="AN13"/>
      <c r="AO13"/>
      <c r="AP13"/>
      <c r="AQ13"/>
      <c r="AR13"/>
      <c r="AS13"/>
      <c r="AT13"/>
      <c r="AU13"/>
      <c r="AV13"/>
      <c r="AW13"/>
      <c r="AX13"/>
      <c r="AY13"/>
      <c r="AZ13"/>
      <c r="BA13"/>
      <c r="BB13"/>
      <c r="BC13"/>
      <c r="BD13"/>
      <c r="BE13"/>
      <c r="BF13"/>
      <c r="BG13"/>
      <c r="BH13"/>
      <c r="BI13"/>
      <c r="BP13"/>
      <c r="BQ13"/>
      <c r="BR13"/>
      <c r="BS13"/>
      <c r="BT13"/>
    </row>
    <row r="14" spans="2:72" ht="14.1" customHeight="1">
      <c r="B14" s="445"/>
      <c r="C14" s="443"/>
      <c r="D14" s="65" t="s">
        <v>81</v>
      </c>
      <c r="E14" s="291"/>
      <c r="F14" s="291"/>
      <c r="G14" s="291"/>
      <c r="H14" s="291"/>
      <c r="I14" s="291"/>
      <c r="J14" s="291"/>
      <c r="K14" s="291"/>
      <c r="L14" s="291"/>
      <c r="M14" s="291"/>
      <c r="N14" s="291"/>
      <c r="O14" s="293"/>
      <c r="P14" s="291"/>
      <c r="Q14" s="291"/>
      <c r="R14" s="291"/>
      <c r="S14" s="291"/>
      <c r="T14" s="291"/>
      <c r="U14" s="372"/>
      <c r="V14" s="291"/>
      <c r="W14" s="291"/>
      <c r="X14" s="291"/>
      <c r="Y14" s="291"/>
      <c r="Z14" s="296"/>
      <c r="AA14" s="428">
        <v>103</v>
      </c>
      <c r="AB14" s="291"/>
      <c r="AC14" s="291"/>
      <c r="AD14" s="291"/>
      <c r="AE14" s="291"/>
      <c r="AF14" s="369"/>
      <c r="AG14" s="291"/>
      <c r="AH14" s="291"/>
      <c r="AI14" s="291"/>
      <c r="AJ14" s="291"/>
      <c r="AK14" s="35" t="s">
        <v>11</v>
      </c>
      <c r="AM14"/>
      <c r="AN14"/>
      <c r="AO14"/>
      <c r="AP14"/>
      <c r="AQ14"/>
      <c r="AR14"/>
      <c r="AS14"/>
      <c r="AT14"/>
      <c r="AU14"/>
      <c r="AV14"/>
      <c r="AW14"/>
      <c r="AX14"/>
      <c r="AY14"/>
      <c r="AZ14"/>
      <c r="BA14"/>
      <c r="BB14"/>
      <c r="BC14"/>
      <c r="BD14"/>
      <c r="BE14"/>
      <c r="BF14"/>
      <c r="BG14"/>
      <c r="BH14"/>
      <c r="BI14"/>
      <c r="BP14"/>
      <c r="BQ14"/>
      <c r="BR14"/>
      <c r="BS14"/>
      <c r="BT14"/>
    </row>
    <row r="15" spans="2:72" ht="14.1" customHeight="1">
      <c r="B15" s="445"/>
      <c r="C15" s="444"/>
      <c r="D15" s="65" t="s">
        <v>79</v>
      </c>
      <c r="E15" s="291"/>
      <c r="F15" s="291"/>
      <c r="G15" s="291"/>
      <c r="H15" s="291"/>
      <c r="I15" s="291"/>
      <c r="J15" s="291"/>
      <c r="K15" s="291"/>
      <c r="L15" s="291"/>
      <c r="M15" s="291"/>
      <c r="N15" s="291"/>
      <c r="O15" s="293"/>
      <c r="P15" s="291"/>
      <c r="Q15" s="291"/>
      <c r="R15" s="291"/>
      <c r="S15" s="291"/>
      <c r="T15" s="291"/>
      <c r="U15" s="372"/>
      <c r="V15" s="291"/>
      <c r="W15" s="291"/>
      <c r="X15" s="291"/>
      <c r="Y15" s="291"/>
      <c r="Z15" s="296"/>
      <c r="AA15" s="429">
        <v>122</v>
      </c>
      <c r="AB15" s="291"/>
      <c r="AC15" s="291"/>
      <c r="AD15" s="291"/>
      <c r="AE15" s="291"/>
      <c r="AF15" s="369"/>
      <c r="AG15" s="291"/>
      <c r="AH15" s="291"/>
      <c r="AI15" s="291"/>
      <c r="AJ15" s="291"/>
      <c r="AK15" s="35" t="s">
        <v>11</v>
      </c>
      <c r="AM15"/>
      <c r="AN15"/>
      <c r="AO15"/>
      <c r="AP15"/>
      <c r="AQ15"/>
      <c r="AR15"/>
      <c r="AS15"/>
      <c r="AT15"/>
      <c r="AU15"/>
      <c r="AV15"/>
      <c r="AW15"/>
      <c r="AX15"/>
      <c r="AY15"/>
      <c r="AZ15"/>
      <c r="BA15"/>
      <c r="BB15"/>
      <c r="BC15"/>
      <c r="BD15"/>
      <c r="BE15"/>
      <c r="BF15"/>
      <c r="BG15"/>
      <c r="BH15"/>
      <c r="BI15"/>
      <c r="BP15"/>
      <c r="BQ15"/>
      <c r="BR15"/>
      <c r="BS15"/>
      <c r="BT15"/>
    </row>
    <row r="16" spans="2:72" ht="14.1" customHeight="1">
      <c r="B16" s="447" t="s">
        <v>340</v>
      </c>
      <c r="C16" s="442" t="s">
        <v>221</v>
      </c>
      <c r="D16" s="65" t="s">
        <v>80</v>
      </c>
      <c r="E16" s="292"/>
      <c r="F16" s="292"/>
      <c r="G16" s="292"/>
      <c r="H16" s="292"/>
      <c r="I16" s="292"/>
      <c r="J16" s="292"/>
      <c r="K16" s="292"/>
      <c r="L16" s="292"/>
      <c r="M16" s="292"/>
      <c r="N16" s="292"/>
      <c r="O16" s="293"/>
      <c r="P16" s="292"/>
      <c r="Q16" s="292"/>
      <c r="R16" s="292"/>
      <c r="S16" s="292"/>
      <c r="T16" s="292"/>
      <c r="U16" s="373"/>
      <c r="V16" s="292"/>
      <c r="W16" s="292"/>
      <c r="X16" s="292"/>
      <c r="Y16" s="292"/>
      <c r="Z16" s="296"/>
      <c r="AA16" s="292">
        <v>8</v>
      </c>
      <c r="AB16" s="292"/>
      <c r="AC16" s="292"/>
      <c r="AD16" s="292"/>
      <c r="AE16" s="292"/>
      <c r="AF16" s="370"/>
      <c r="AG16" s="292"/>
      <c r="AH16" s="292"/>
      <c r="AI16" s="292"/>
      <c r="AJ16" s="292"/>
      <c r="AK16" s="35" t="s">
        <v>11</v>
      </c>
      <c r="AM16"/>
      <c r="AN16"/>
      <c r="AO16"/>
      <c r="AP16"/>
      <c r="AQ16"/>
      <c r="AR16"/>
      <c r="AS16"/>
      <c r="AT16"/>
      <c r="AU16"/>
      <c r="AV16"/>
      <c r="AW16"/>
      <c r="AX16"/>
      <c r="AY16"/>
      <c r="AZ16"/>
      <c r="BA16"/>
      <c r="BB16"/>
      <c r="BC16"/>
      <c r="BD16"/>
      <c r="BE16"/>
      <c r="BF16"/>
      <c r="BG16"/>
      <c r="BH16"/>
      <c r="BI16"/>
      <c r="BP16"/>
      <c r="BQ16"/>
      <c r="BR16"/>
      <c r="BS16"/>
      <c r="BT16"/>
    </row>
    <row r="17" spans="2:72" ht="14.1" customHeight="1">
      <c r="B17" s="447"/>
      <c r="C17" s="443"/>
      <c r="D17" s="65" t="s">
        <v>81</v>
      </c>
      <c r="E17" s="292"/>
      <c r="F17" s="292"/>
      <c r="G17" s="292"/>
      <c r="H17" s="292"/>
      <c r="I17" s="292"/>
      <c r="J17" s="292"/>
      <c r="K17" s="292"/>
      <c r="L17" s="292"/>
      <c r="M17" s="292"/>
      <c r="N17" s="292"/>
      <c r="O17" s="293"/>
      <c r="P17" s="292"/>
      <c r="Q17" s="292"/>
      <c r="R17" s="292"/>
      <c r="S17" s="292"/>
      <c r="T17" s="292"/>
      <c r="U17" s="373"/>
      <c r="V17" s="292"/>
      <c r="W17" s="292"/>
      <c r="X17" s="292"/>
      <c r="Y17" s="292"/>
      <c r="Z17" s="296"/>
      <c r="AA17" s="428">
        <v>8</v>
      </c>
      <c r="AB17" s="292"/>
      <c r="AC17" s="292"/>
      <c r="AD17" s="292"/>
      <c r="AE17" s="292"/>
      <c r="AF17" s="370"/>
      <c r="AG17" s="292"/>
      <c r="AH17" s="292"/>
      <c r="AI17" s="292"/>
      <c r="AJ17" s="292"/>
      <c r="AK17" s="35" t="s">
        <v>11</v>
      </c>
      <c r="AM17"/>
      <c r="AN17"/>
      <c r="AO17"/>
      <c r="AP17"/>
      <c r="AQ17"/>
      <c r="AR17"/>
      <c r="AS17"/>
      <c r="AT17"/>
      <c r="AU17"/>
      <c r="AV17"/>
      <c r="AW17"/>
      <c r="AX17"/>
      <c r="AY17"/>
      <c r="AZ17"/>
      <c r="BA17"/>
      <c r="BB17"/>
      <c r="BC17"/>
      <c r="BD17"/>
      <c r="BE17"/>
      <c r="BF17"/>
      <c r="BG17"/>
      <c r="BH17"/>
      <c r="BI17"/>
      <c r="BP17"/>
      <c r="BQ17"/>
      <c r="BR17"/>
      <c r="BS17"/>
      <c r="BT17"/>
    </row>
    <row r="18" spans="2:72" ht="14.1" customHeight="1">
      <c r="B18" s="447"/>
      <c r="C18" s="444"/>
      <c r="D18" s="65" t="s">
        <v>79</v>
      </c>
      <c r="E18" s="292"/>
      <c r="F18" s="292"/>
      <c r="G18" s="292"/>
      <c r="H18" s="292"/>
      <c r="I18" s="292"/>
      <c r="J18" s="292"/>
      <c r="K18" s="292"/>
      <c r="L18" s="292"/>
      <c r="M18" s="292"/>
      <c r="N18" s="292"/>
      <c r="O18" s="293"/>
      <c r="P18" s="292"/>
      <c r="Q18" s="292"/>
      <c r="R18" s="292"/>
      <c r="S18" s="292"/>
      <c r="T18" s="292"/>
      <c r="U18" s="373"/>
      <c r="V18" s="292"/>
      <c r="W18" s="292"/>
      <c r="X18" s="292"/>
      <c r="Y18" s="292"/>
      <c r="Z18" s="296"/>
      <c r="AA18" s="428">
        <v>10</v>
      </c>
      <c r="AB18" s="292"/>
      <c r="AC18" s="292"/>
      <c r="AD18" s="292"/>
      <c r="AE18" s="292"/>
      <c r="AF18" s="370"/>
      <c r="AG18" s="292"/>
      <c r="AH18" s="292"/>
      <c r="AI18" s="292"/>
      <c r="AJ18" s="292"/>
      <c r="AK18" s="35" t="s">
        <v>11</v>
      </c>
      <c r="AM18"/>
      <c r="AN18"/>
      <c r="AO18"/>
      <c r="AP18"/>
      <c r="AQ18"/>
      <c r="AR18"/>
      <c r="AS18"/>
      <c r="AT18"/>
      <c r="AU18"/>
      <c r="AV18"/>
      <c r="AW18"/>
      <c r="AX18"/>
      <c r="AY18"/>
      <c r="AZ18"/>
      <c r="BA18"/>
      <c r="BB18"/>
      <c r="BC18"/>
      <c r="BD18"/>
      <c r="BE18"/>
      <c r="BF18"/>
      <c r="BG18"/>
      <c r="BH18"/>
      <c r="BI18"/>
      <c r="BP18"/>
      <c r="BQ18"/>
      <c r="BR18"/>
      <c r="BS18"/>
      <c r="BT18"/>
    </row>
    <row r="19" spans="2:72" ht="14.1" customHeight="1">
      <c r="B19" s="448" t="s">
        <v>168</v>
      </c>
      <c r="C19" s="469" t="s">
        <v>116</v>
      </c>
      <c r="D19" s="65" t="s">
        <v>80</v>
      </c>
      <c r="E19" s="291"/>
      <c r="F19" s="291"/>
      <c r="G19" s="291"/>
      <c r="H19" s="291"/>
      <c r="I19" s="291"/>
      <c r="J19" s="291"/>
      <c r="K19" s="291"/>
      <c r="L19" s="291"/>
      <c r="M19" s="291"/>
      <c r="N19" s="291"/>
      <c r="O19" s="293"/>
      <c r="P19" s="291"/>
      <c r="Q19" s="291"/>
      <c r="R19" s="291"/>
      <c r="S19" s="291"/>
      <c r="T19" s="291"/>
      <c r="U19" s="372"/>
      <c r="V19" s="291"/>
      <c r="W19" s="291"/>
      <c r="X19" s="291"/>
      <c r="Y19" s="291"/>
      <c r="Z19" s="296"/>
      <c r="AA19" s="429">
        <v>88</v>
      </c>
      <c r="AB19" s="291"/>
      <c r="AC19" s="291"/>
      <c r="AD19" s="291"/>
      <c r="AE19" s="291"/>
      <c r="AF19" s="369"/>
      <c r="AG19" s="291"/>
      <c r="AH19" s="291"/>
      <c r="AI19" s="291"/>
      <c r="AJ19" s="291"/>
      <c r="AK19" s="35" t="s">
        <v>11</v>
      </c>
      <c r="AM19"/>
      <c r="AN19"/>
      <c r="AO19"/>
      <c r="AP19"/>
      <c r="AQ19"/>
      <c r="AR19"/>
      <c r="AS19"/>
      <c r="AT19"/>
      <c r="AU19"/>
      <c r="AV19"/>
      <c r="AW19"/>
      <c r="AX19"/>
      <c r="AY19"/>
      <c r="AZ19"/>
      <c r="BA19"/>
      <c r="BB19"/>
      <c r="BC19"/>
      <c r="BD19"/>
      <c r="BE19"/>
      <c r="BF19"/>
      <c r="BG19"/>
      <c r="BH19"/>
      <c r="BI19"/>
      <c r="BP19"/>
      <c r="BQ19"/>
      <c r="BR19"/>
      <c r="BS19"/>
      <c r="BT19"/>
    </row>
    <row r="20" spans="2:72" ht="14.1" customHeight="1">
      <c r="B20" s="449"/>
      <c r="C20" s="470"/>
      <c r="D20" s="65" t="s">
        <v>81</v>
      </c>
      <c r="E20" s="291"/>
      <c r="F20" s="291"/>
      <c r="G20" s="291"/>
      <c r="H20" s="291"/>
      <c r="I20" s="291"/>
      <c r="J20" s="291"/>
      <c r="K20" s="291"/>
      <c r="L20" s="291"/>
      <c r="M20" s="291"/>
      <c r="N20" s="291"/>
      <c r="O20" s="64"/>
      <c r="P20" s="291"/>
      <c r="Q20" s="291"/>
      <c r="R20" s="291"/>
      <c r="S20" s="291"/>
      <c r="T20" s="291"/>
      <c r="U20" s="372"/>
      <c r="V20" s="291"/>
      <c r="W20" s="291"/>
      <c r="X20" s="291"/>
      <c r="Y20" s="291"/>
      <c r="Z20" s="296"/>
      <c r="AA20" s="428">
        <v>88</v>
      </c>
      <c r="AB20" s="291"/>
      <c r="AC20" s="291"/>
      <c r="AD20" s="291"/>
      <c r="AE20" s="291"/>
      <c r="AF20" s="369"/>
      <c r="AG20" s="291"/>
      <c r="AH20" s="291"/>
      <c r="AI20" s="291"/>
      <c r="AJ20" s="291"/>
      <c r="AK20" s="35" t="s">
        <v>11</v>
      </c>
      <c r="AM20"/>
      <c r="AN20"/>
      <c r="AO20"/>
      <c r="AP20"/>
      <c r="AQ20"/>
      <c r="AR20"/>
      <c r="AS20"/>
      <c r="AT20"/>
      <c r="AU20"/>
      <c r="AV20"/>
      <c r="AW20"/>
      <c r="AX20"/>
      <c r="AY20"/>
      <c r="AZ20"/>
      <c r="BA20"/>
      <c r="BB20"/>
      <c r="BC20"/>
      <c r="BD20"/>
      <c r="BE20"/>
      <c r="BF20"/>
      <c r="BG20"/>
      <c r="BH20"/>
      <c r="BI20"/>
      <c r="BP20"/>
      <c r="BQ20"/>
      <c r="BR20"/>
      <c r="BS20"/>
      <c r="BT20"/>
    </row>
    <row r="21" spans="2:72" ht="14.1" customHeight="1">
      <c r="B21" s="450"/>
      <c r="C21" s="471"/>
      <c r="D21" s="65" t="s">
        <v>79</v>
      </c>
      <c r="E21" s="291"/>
      <c r="F21" s="291"/>
      <c r="G21" s="291"/>
      <c r="H21" s="291"/>
      <c r="I21" s="291"/>
      <c r="J21" s="291"/>
      <c r="K21" s="291"/>
      <c r="L21" s="291"/>
      <c r="M21" s="291"/>
      <c r="N21" s="291"/>
      <c r="O21" s="64"/>
      <c r="P21" s="291"/>
      <c r="Q21" s="291"/>
      <c r="R21" s="291"/>
      <c r="S21" s="291"/>
      <c r="T21" s="291"/>
      <c r="U21" s="372"/>
      <c r="V21" s="291"/>
      <c r="W21" s="291"/>
      <c r="X21" s="291"/>
      <c r="Y21" s="291"/>
      <c r="Z21" s="296"/>
      <c r="AA21" s="291">
        <v>88</v>
      </c>
      <c r="AB21" s="291"/>
      <c r="AC21" s="291"/>
      <c r="AD21" s="291"/>
      <c r="AE21" s="291"/>
      <c r="AF21" s="369"/>
      <c r="AG21" s="291"/>
      <c r="AH21" s="291"/>
      <c r="AI21" s="291"/>
      <c r="AJ21" s="291"/>
      <c r="AK21" s="35" t="s">
        <v>11</v>
      </c>
      <c r="AM21"/>
      <c r="AN21"/>
      <c r="AO21"/>
      <c r="AP21"/>
      <c r="AQ21"/>
      <c r="AR21"/>
      <c r="AS21"/>
      <c r="AT21"/>
      <c r="AU21"/>
      <c r="AV21"/>
      <c r="AW21"/>
      <c r="AX21"/>
      <c r="AY21"/>
      <c r="AZ21"/>
      <c r="BA21"/>
      <c r="BB21"/>
      <c r="BC21"/>
      <c r="BD21"/>
      <c r="BE21"/>
      <c r="BF21"/>
      <c r="BG21"/>
      <c r="BH21"/>
      <c r="BI21"/>
      <c r="BP21"/>
      <c r="BQ21"/>
      <c r="BR21"/>
      <c r="BS21"/>
      <c r="BT21"/>
    </row>
    <row r="22" spans="2:72" ht="14.1" customHeight="1">
      <c r="B22" s="448" t="s">
        <v>158</v>
      </c>
      <c r="C22" s="442" t="s">
        <v>117</v>
      </c>
      <c r="D22" s="65" t="s">
        <v>80</v>
      </c>
      <c r="E22" s="292"/>
      <c r="F22" s="292"/>
      <c r="G22" s="292"/>
      <c r="H22" s="292"/>
      <c r="I22" s="292"/>
      <c r="J22" s="292"/>
      <c r="K22" s="292"/>
      <c r="L22" s="292"/>
      <c r="M22" s="292"/>
      <c r="N22" s="292"/>
      <c r="O22" s="64"/>
      <c r="P22" s="292"/>
      <c r="Q22" s="292"/>
      <c r="R22" s="292"/>
      <c r="S22" s="292"/>
      <c r="T22" s="292"/>
      <c r="U22" s="373"/>
      <c r="V22" s="292"/>
      <c r="W22" s="292"/>
      <c r="X22" s="292"/>
      <c r="Y22" s="292"/>
      <c r="Z22" s="296"/>
      <c r="AA22" s="428">
        <v>92</v>
      </c>
      <c r="AB22" s="292"/>
      <c r="AC22" s="292"/>
      <c r="AD22" s="292"/>
      <c r="AE22" s="292"/>
      <c r="AF22" s="370"/>
      <c r="AG22" s="292"/>
      <c r="AH22" s="292"/>
      <c r="AI22" s="292"/>
      <c r="AJ22" s="292"/>
      <c r="AK22" s="35" t="s">
        <v>11</v>
      </c>
      <c r="AM22"/>
      <c r="AN22"/>
      <c r="AO22"/>
      <c r="AP22"/>
      <c r="AQ22"/>
      <c r="AR22"/>
      <c r="AS22"/>
      <c r="AT22"/>
      <c r="AU22"/>
      <c r="AV22"/>
      <c r="AW22"/>
      <c r="AX22"/>
      <c r="AY22"/>
      <c r="AZ22"/>
      <c r="BA22"/>
      <c r="BB22"/>
      <c r="BC22"/>
      <c r="BD22"/>
      <c r="BE22"/>
      <c r="BF22"/>
      <c r="BG22"/>
      <c r="BH22"/>
      <c r="BI22"/>
      <c r="BP22"/>
      <c r="BQ22"/>
      <c r="BR22"/>
      <c r="BS22"/>
      <c r="BT22"/>
    </row>
    <row r="23" spans="2:72" ht="14.1" customHeight="1">
      <c r="B23" s="449"/>
      <c r="C23" s="443"/>
      <c r="D23" s="65" t="s">
        <v>81</v>
      </c>
      <c r="E23" s="292"/>
      <c r="F23" s="292"/>
      <c r="G23" s="292"/>
      <c r="H23" s="292"/>
      <c r="I23" s="292"/>
      <c r="J23" s="292"/>
      <c r="K23" s="292"/>
      <c r="L23" s="292"/>
      <c r="M23" s="292"/>
      <c r="N23" s="292"/>
      <c r="O23" s="64"/>
      <c r="P23" s="292"/>
      <c r="Q23" s="292"/>
      <c r="R23" s="292"/>
      <c r="S23" s="292"/>
      <c r="T23" s="292"/>
      <c r="U23" s="373"/>
      <c r="V23" s="292"/>
      <c r="W23" s="292"/>
      <c r="X23" s="292"/>
      <c r="Y23" s="292"/>
      <c r="Z23" s="296"/>
      <c r="AA23" s="429">
        <v>92</v>
      </c>
      <c r="AB23" s="292"/>
      <c r="AC23" s="292"/>
      <c r="AD23" s="292"/>
      <c r="AE23" s="292"/>
      <c r="AF23" s="370"/>
      <c r="AG23" s="292"/>
      <c r="AH23" s="292"/>
      <c r="AI23" s="292"/>
      <c r="AJ23" s="292"/>
      <c r="AK23" s="35" t="s">
        <v>11</v>
      </c>
      <c r="AM23"/>
      <c r="AN23"/>
      <c r="AO23"/>
      <c r="AP23"/>
      <c r="AQ23"/>
      <c r="AR23"/>
      <c r="AS23"/>
      <c r="AT23"/>
      <c r="AU23"/>
      <c r="AV23"/>
      <c r="AW23"/>
      <c r="AX23"/>
      <c r="AY23"/>
      <c r="AZ23"/>
      <c r="BA23"/>
      <c r="BB23"/>
      <c r="BC23"/>
      <c r="BD23"/>
      <c r="BE23"/>
      <c r="BF23"/>
      <c r="BG23"/>
      <c r="BH23"/>
      <c r="BI23"/>
      <c r="BP23"/>
      <c r="BQ23"/>
      <c r="BR23"/>
      <c r="BS23"/>
      <c r="BT23"/>
    </row>
    <row r="24" spans="2:72" ht="14.1" customHeight="1">
      <c r="B24" s="450"/>
      <c r="C24" s="444"/>
      <c r="D24" s="65" t="s">
        <v>79</v>
      </c>
      <c r="E24" s="292"/>
      <c r="F24" s="292"/>
      <c r="G24" s="292"/>
      <c r="H24" s="292"/>
      <c r="I24" s="292"/>
      <c r="J24" s="292"/>
      <c r="K24" s="292"/>
      <c r="L24" s="292"/>
      <c r="M24" s="292"/>
      <c r="N24" s="292"/>
      <c r="O24" s="64"/>
      <c r="P24" s="292"/>
      <c r="Q24" s="292"/>
      <c r="R24" s="292"/>
      <c r="S24" s="292"/>
      <c r="T24" s="292"/>
      <c r="U24" s="373"/>
      <c r="V24" s="292"/>
      <c r="W24" s="292"/>
      <c r="X24" s="292"/>
      <c r="Y24" s="292"/>
      <c r="Z24" s="296"/>
      <c r="AA24" s="292">
        <v>92</v>
      </c>
      <c r="AB24" s="292"/>
      <c r="AC24" s="292"/>
      <c r="AD24" s="292"/>
      <c r="AE24" s="292"/>
      <c r="AF24" s="370"/>
      <c r="AG24" s="292"/>
      <c r="AH24" s="292"/>
      <c r="AI24" s="292"/>
      <c r="AJ24" s="292"/>
      <c r="AK24" s="35" t="s">
        <v>11</v>
      </c>
      <c r="AM24"/>
      <c r="AN24"/>
      <c r="AO24"/>
      <c r="AP24"/>
      <c r="AQ24"/>
      <c r="AR24"/>
      <c r="AS24"/>
      <c r="AT24"/>
      <c r="AU24"/>
      <c r="AV24"/>
      <c r="AW24"/>
      <c r="AX24"/>
      <c r="AY24"/>
      <c r="AZ24"/>
      <c r="BA24"/>
      <c r="BB24"/>
      <c r="BC24"/>
      <c r="BD24"/>
      <c r="BE24"/>
      <c r="BF24"/>
      <c r="BG24"/>
      <c r="BH24"/>
      <c r="BI24"/>
      <c r="BP24"/>
      <c r="BQ24"/>
      <c r="BR24"/>
      <c r="BS24"/>
      <c r="BT24"/>
    </row>
    <row r="25" spans="2:72" ht="14.1" customHeight="1">
      <c r="B25" s="445" t="s">
        <v>159</v>
      </c>
      <c r="C25" s="446" t="s">
        <v>156</v>
      </c>
      <c r="D25" s="65" t="s">
        <v>80</v>
      </c>
      <c r="E25" s="291"/>
      <c r="F25" s="291"/>
      <c r="G25" s="291"/>
      <c r="H25" s="291"/>
      <c r="I25" s="291"/>
      <c r="J25" s="291"/>
      <c r="K25" s="291"/>
      <c r="L25" s="291"/>
      <c r="M25" s="291"/>
      <c r="N25" s="291"/>
      <c r="O25" s="64"/>
      <c r="P25" s="291"/>
      <c r="Q25" s="291"/>
      <c r="R25" s="291"/>
      <c r="S25" s="291"/>
      <c r="T25" s="291"/>
      <c r="U25" s="372"/>
      <c r="V25" s="291"/>
      <c r="W25" s="291"/>
      <c r="X25" s="291"/>
      <c r="Y25" s="291"/>
      <c r="Z25" s="296"/>
      <c r="AA25" s="428">
        <v>140</v>
      </c>
      <c r="AB25" s="291"/>
      <c r="AC25" s="291"/>
      <c r="AD25" s="291"/>
      <c r="AE25" s="291"/>
      <c r="AF25" s="369"/>
      <c r="AG25" s="291"/>
      <c r="AH25" s="291"/>
      <c r="AI25" s="291"/>
      <c r="AJ25" s="291"/>
      <c r="AK25" s="35" t="s">
        <v>11</v>
      </c>
      <c r="AM25"/>
      <c r="AN25"/>
      <c r="AO25"/>
      <c r="AP25"/>
      <c r="AQ25"/>
      <c r="AR25"/>
      <c r="AS25"/>
      <c r="AT25"/>
      <c r="AU25"/>
      <c r="AV25"/>
      <c r="AW25"/>
      <c r="AX25"/>
      <c r="AY25"/>
      <c r="AZ25"/>
      <c r="BA25"/>
      <c r="BB25"/>
      <c r="BC25"/>
      <c r="BD25"/>
      <c r="BE25"/>
      <c r="BF25"/>
      <c r="BG25"/>
      <c r="BH25"/>
      <c r="BI25"/>
      <c r="BP25"/>
      <c r="BQ25"/>
      <c r="BR25"/>
      <c r="BS25"/>
      <c r="BT25"/>
    </row>
    <row r="26" spans="2:72" ht="14.1" customHeight="1">
      <c r="B26" s="445"/>
      <c r="C26" s="446"/>
      <c r="D26" s="65" t="s">
        <v>81</v>
      </c>
      <c r="E26" s="291"/>
      <c r="F26" s="291"/>
      <c r="G26" s="291"/>
      <c r="H26" s="291"/>
      <c r="I26" s="291"/>
      <c r="J26" s="291"/>
      <c r="K26" s="291"/>
      <c r="L26" s="291"/>
      <c r="M26" s="291"/>
      <c r="N26" s="291"/>
      <c r="O26" s="64"/>
      <c r="P26" s="291"/>
      <c r="Q26" s="291"/>
      <c r="R26" s="291"/>
      <c r="S26" s="291"/>
      <c r="T26" s="291"/>
      <c r="U26" s="372"/>
      <c r="V26" s="291"/>
      <c r="W26" s="291"/>
      <c r="X26" s="291"/>
      <c r="Y26" s="291"/>
      <c r="Z26" s="296"/>
      <c r="AA26" s="428">
        <v>140</v>
      </c>
      <c r="AB26" s="291"/>
      <c r="AC26" s="291"/>
      <c r="AD26" s="291"/>
      <c r="AE26" s="291"/>
      <c r="AF26" s="369"/>
      <c r="AG26" s="291"/>
      <c r="AH26" s="291"/>
      <c r="AI26" s="291"/>
      <c r="AJ26" s="291"/>
      <c r="AK26" s="35" t="s">
        <v>11</v>
      </c>
      <c r="AM26"/>
      <c r="AN26"/>
      <c r="AO26"/>
      <c r="AP26"/>
      <c r="AQ26"/>
      <c r="AR26"/>
      <c r="AS26"/>
      <c r="AT26"/>
      <c r="AU26"/>
      <c r="AV26"/>
      <c r="AW26"/>
      <c r="AX26"/>
      <c r="AY26"/>
      <c r="AZ26"/>
      <c r="BA26"/>
      <c r="BB26"/>
      <c r="BC26"/>
      <c r="BD26"/>
      <c r="BE26"/>
      <c r="BF26"/>
      <c r="BG26"/>
      <c r="BH26"/>
      <c r="BI26"/>
      <c r="BP26"/>
      <c r="BQ26"/>
      <c r="BR26"/>
      <c r="BS26"/>
      <c r="BT26"/>
    </row>
    <row r="27" spans="2:72" ht="14.1" customHeight="1">
      <c r="B27" s="445"/>
      <c r="C27" s="446"/>
      <c r="D27" s="65" t="s">
        <v>79</v>
      </c>
      <c r="E27" s="291"/>
      <c r="F27" s="291"/>
      <c r="G27" s="291"/>
      <c r="H27" s="291"/>
      <c r="I27" s="291"/>
      <c r="J27" s="291"/>
      <c r="K27" s="291"/>
      <c r="L27" s="291"/>
      <c r="M27" s="291"/>
      <c r="N27" s="291"/>
      <c r="O27" s="64"/>
      <c r="P27" s="291"/>
      <c r="Q27" s="291"/>
      <c r="R27" s="291"/>
      <c r="S27" s="291"/>
      <c r="T27" s="291"/>
      <c r="U27" s="372"/>
      <c r="V27" s="291"/>
      <c r="W27" s="291"/>
      <c r="X27" s="291"/>
      <c r="Y27" s="291"/>
      <c r="Z27" s="296"/>
      <c r="AA27" s="429">
        <v>140</v>
      </c>
      <c r="AB27" s="291"/>
      <c r="AC27" s="291"/>
      <c r="AD27" s="291"/>
      <c r="AE27" s="291"/>
      <c r="AF27" s="369"/>
      <c r="AG27" s="291"/>
      <c r="AH27" s="291"/>
      <c r="AI27" s="291"/>
      <c r="AJ27" s="291"/>
      <c r="AK27" s="35" t="s">
        <v>11</v>
      </c>
      <c r="AM27"/>
      <c r="AN27"/>
      <c r="AO27"/>
      <c r="AP27"/>
      <c r="AQ27"/>
      <c r="AR27"/>
      <c r="AS27"/>
      <c r="AT27"/>
      <c r="AU27"/>
      <c r="AV27"/>
      <c r="AW27"/>
      <c r="AX27"/>
      <c r="AY27"/>
      <c r="AZ27"/>
      <c r="BA27"/>
      <c r="BB27"/>
      <c r="BC27"/>
      <c r="BD27"/>
      <c r="BE27"/>
      <c r="BF27"/>
      <c r="BG27"/>
      <c r="BH27"/>
      <c r="BI27"/>
      <c r="BP27"/>
      <c r="BQ27"/>
      <c r="BR27"/>
      <c r="BS27"/>
      <c r="BT27"/>
    </row>
    <row r="28" spans="2:72" ht="14.1" customHeight="1">
      <c r="B28" s="445" t="s">
        <v>160</v>
      </c>
      <c r="C28" s="446" t="s">
        <v>119</v>
      </c>
      <c r="D28" s="65" t="s">
        <v>80</v>
      </c>
      <c r="E28" s="292"/>
      <c r="F28" s="292"/>
      <c r="G28" s="292"/>
      <c r="H28" s="292"/>
      <c r="I28" s="292"/>
      <c r="J28" s="292"/>
      <c r="K28" s="292"/>
      <c r="L28" s="292"/>
      <c r="M28" s="292"/>
      <c r="N28" s="292"/>
      <c r="O28" s="64"/>
      <c r="P28" s="292"/>
      <c r="Q28" s="292"/>
      <c r="R28" s="292"/>
      <c r="S28" s="292"/>
      <c r="T28" s="292"/>
      <c r="U28" s="373"/>
      <c r="V28" s="292"/>
      <c r="W28" s="292"/>
      <c r="X28" s="292"/>
      <c r="Y28" s="292"/>
      <c r="Z28" s="296"/>
      <c r="AA28" s="428">
        <v>142</v>
      </c>
      <c r="AB28" s="292"/>
      <c r="AC28" s="292"/>
      <c r="AD28" s="292"/>
      <c r="AE28" s="292"/>
      <c r="AF28" s="370"/>
      <c r="AG28" s="292"/>
      <c r="AH28" s="292"/>
      <c r="AI28" s="292"/>
      <c r="AJ28" s="292"/>
      <c r="AK28" s="35" t="s">
        <v>11</v>
      </c>
      <c r="AM28"/>
      <c r="AN28"/>
      <c r="AO28"/>
      <c r="AP28"/>
      <c r="AQ28"/>
      <c r="AR28"/>
      <c r="AS28"/>
      <c r="AT28"/>
      <c r="AU28"/>
      <c r="AV28"/>
      <c r="AW28"/>
      <c r="AX28"/>
      <c r="AY28"/>
      <c r="AZ28"/>
      <c r="BA28"/>
      <c r="BB28"/>
      <c r="BC28"/>
      <c r="BD28"/>
      <c r="BE28"/>
      <c r="BF28"/>
      <c r="BG28"/>
      <c r="BH28"/>
      <c r="BI28"/>
      <c r="BP28"/>
      <c r="BQ28"/>
      <c r="BR28"/>
      <c r="BS28"/>
      <c r="BT28"/>
    </row>
    <row r="29" spans="2:72" ht="14.1" customHeight="1">
      <c r="B29" s="445"/>
      <c r="C29" s="446"/>
      <c r="D29" s="65" t="s">
        <v>81</v>
      </c>
      <c r="E29" s="292"/>
      <c r="F29" s="292"/>
      <c r="G29" s="292"/>
      <c r="H29" s="292"/>
      <c r="I29" s="292"/>
      <c r="J29" s="292"/>
      <c r="K29" s="292"/>
      <c r="L29" s="292"/>
      <c r="M29" s="292"/>
      <c r="N29" s="292"/>
      <c r="O29" s="64"/>
      <c r="P29" s="292"/>
      <c r="Q29" s="292"/>
      <c r="R29" s="292"/>
      <c r="S29" s="292"/>
      <c r="T29" s="292"/>
      <c r="U29" s="373"/>
      <c r="V29" s="292"/>
      <c r="W29" s="292"/>
      <c r="X29" s="292"/>
      <c r="Y29" s="292"/>
      <c r="Z29" s="296"/>
      <c r="AA29" s="428">
        <v>142</v>
      </c>
      <c r="AB29" s="292"/>
      <c r="AC29" s="292"/>
      <c r="AD29" s="292"/>
      <c r="AE29" s="292"/>
      <c r="AF29" s="370"/>
      <c r="AG29" s="292"/>
      <c r="AH29" s="292"/>
      <c r="AI29" s="292"/>
      <c r="AJ29" s="292"/>
      <c r="AK29" s="35" t="s">
        <v>11</v>
      </c>
      <c r="AM29"/>
      <c r="AN29"/>
      <c r="AO29"/>
      <c r="AP29"/>
      <c r="AQ29"/>
      <c r="AR29"/>
      <c r="AS29"/>
      <c r="AT29"/>
      <c r="AU29"/>
      <c r="AV29"/>
      <c r="AW29"/>
      <c r="AX29"/>
      <c r="AY29"/>
      <c r="AZ29"/>
      <c r="BA29"/>
      <c r="BB29"/>
      <c r="BC29"/>
      <c r="BD29"/>
      <c r="BE29"/>
      <c r="BF29"/>
      <c r="BG29"/>
      <c r="BH29"/>
      <c r="BI29"/>
      <c r="BP29"/>
      <c r="BQ29"/>
      <c r="BR29"/>
      <c r="BS29"/>
      <c r="BT29"/>
    </row>
    <row r="30" spans="2:72" ht="14.1" customHeight="1">
      <c r="B30" s="445"/>
      <c r="C30" s="446"/>
      <c r="D30" s="65" t="s">
        <v>79</v>
      </c>
      <c r="E30" s="292"/>
      <c r="F30" s="292"/>
      <c r="G30" s="292"/>
      <c r="H30" s="292"/>
      <c r="I30" s="292"/>
      <c r="J30" s="292"/>
      <c r="K30" s="292"/>
      <c r="L30" s="292"/>
      <c r="M30" s="292"/>
      <c r="N30" s="292"/>
      <c r="O30" s="64"/>
      <c r="P30" s="292"/>
      <c r="Q30" s="292"/>
      <c r="R30" s="292"/>
      <c r="S30" s="292"/>
      <c r="T30" s="292"/>
      <c r="U30" s="373"/>
      <c r="V30" s="292"/>
      <c r="W30" s="292"/>
      <c r="X30" s="292"/>
      <c r="Y30" s="292"/>
      <c r="Z30" s="296"/>
      <c r="AA30" s="429">
        <v>142</v>
      </c>
      <c r="AB30" s="292"/>
      <c r="AC30" s="292"/>
      <c r="AD30" s="292"/>
      <c r="AE30" s="292"/>
      <c r="AF30" s="370"/>
      <c r="AG30" s="292"/>
      <c r="AH30" s="292"/>
      <c r="AI30" s="292"/>
      <c r="AJ30" s="292"/>
      <c r="AK30" s="35" t="s">
        <v>11</v>
      </c>
      <c r="AM30"/>
      <c r="AN30"/>
      <c r="AO30"/>
      <c r="AP30"/>
      <c r="AQ30"/>
      <c r="AR30"/>
      <c r="AS30"/>
      <c r="AT30"/>
      <c r="AU30"/>
      <c r="AV30"/>
      <c r="AW30"/>
      <c r="AX30"/>
      <c r="AY30"/>
      <c r="AZ30"/>
      <c r="BA30"/>
      <c r="BB30"/>
      <c r="BC30"/>
      <c r="BD30"/>
      <c r="BE30"/>
      <c r="BF30"/>
      <c r="BG30"/>
      <c r="BH30"/>
      <c r="BI30"/>
      <c r="BP30"/>
      <c r="BQ30"/>
      <c r="BR30"/>
      <c r="BS30"/>
      <c r="BT30"/>
    </row>
    <row r="31" spans="2:72" ht="14.1" customHeight="1">
      <c r="B31" s="447" t="s">
        <v>341</v>
      </c>
      <c r="C31" s="442" t="s">
        <v>240</v>
      </c>
      <c r="D31" s="65" t="s">
        <v>80</v>
      </c>
      <c r="E31" s="291"/>
      <c r="F31" s="291"/>
      <c r="G31" s="291"/>
      <c r="H31" s="291"/>
      <c r="I31" s="291"/>
      <c r="J31" s="291"/>
      <c r="K31" s="291"/>
      <c r="L31" s="291"/>
      <c r="M31" s="291"/>
      <c r="N31" s="291"/>
      <c r="O31" s="64"/>
      <c r="P31" s="291"/>
      <c r="Q31" s="291"/>
      <c r="R31" s="291"/>
      <c r="S31" s="291"/>
      <c r="T31" s="291"/>
      <c r="U31" s="372"/>
      <c r="V31" s="291"/>
      <c r="W31" s="291"/>
      <c r="X31" s="291"/>
      <c r="Y31" s="291"/>
      <c r="Z31" s="296"/>
      <c r="AA31" s="428">
        <v>7</v>
      </c>
      <c r="AB31" s="291"/>
      <c r="AC31" s="291"/>
      <c r="AD31" s="291"/>
      <c r="AE31" s="291"/>
      <c r="AF31" s="369"/>
      <c r="AG31" s="291"/>
      <c r="AH31" s="291"/>
      <c r="AI31" s="291"/>
      <c r="AJ31" s="291"/>
      <c r="AK31" s="35" t="s">
        <v>11</v>
      </c>
      <c r="AM31"/>
      <c r="AN31"/>
      <c r="AO31"/>
      <c r="AP31"/>
      <c r="AQ31"/>
      <c r="AR31"/>
      <c r="AS31"/>
      <c r="AT31"/>
      <c r="AU31"/>
      <c r="AV31"/>
      <c r="AW31"/>
      <c r="AX31"/>
      <c r="AY31"/>
      <c r="AZ31"/>
      <c r="BA31"/>
      <c r="BB31"/>
      <c r="BC31"/>
      <c r="BD31"/>
      <c r="BE31"/>
      <c r="BF31"/>
      <c r="BG31"/>
      <c r="BH31"/>
      <c r="BI31"/>
      <c r="BP31"/>
      <c r="BQ31"/>
      <c r="BR31"/>
      <c r="BS31"/>
      <c r="BT31"/>
    </row>
    <row r="32" spans="2:72" ht="14.1" customHeight="1">
      <c r="B32" s="447"/>
      <c r="C32" s="443"/>
      <c r="D32" s="65" t="s">
        <v>81</v>
      </c>
      <c r="E32" s="291"/>
      <c r="F32" s="291"/>
      <c r="G32" s="291"/>
      <c r="H32" s="291"/>
      <c r="I32" s="291"/>
      <c r="J32" s="291"/>
      <c r="K32" s="291"/>
      <c r="L32" s="291"/>
      <c r="M32" s="291"/>
      <c r="N32" s="291"/>
      <c r="O32" s="64"/>
      <c r="P32" s="291"/>
      <c r="Q32" s="291"/>
      <c r="R32" s="291"/>
      <c r="S32" s="291"/>
      <c r="T32" s="291"/>
      <c r="U32" s="372"/>
      <c r="V32" s="291"/>
      <c r="W32" s="291"/>
      <c r="X32" s="291"/>
      <c r="Y32" s="291"/>
      <c r="Z32" s="296"/>
      <c r="AA32" s="428">
        <v>7</v>
      </c>
      <c r="AB32" s="291"/>
      <c r="AC32" s="291"/>
      <c r="AD32" s="291"/>
      <c r="AE32" s="291"/>
      <c r="AF32" s="369"/>
      <c r="AG32" s="291"/>
      <c r="AH32" s="291"/>
      <c r="AI32" s="291"/>
      <c r="AJ32" s="291"/>
      <c r="AK32" s="35" t="s">
        <v>11</v>
      </c>
      <c r="AM32"/>
      <c r="AN32"/>
      <c r="AO32"/>
      <c r="AP32"/>
      <c r="AQ32"/>
      <c r="AR32"/>
      <c r="AS32"/>
      <c r="AT32"/>
      <c r="AU32"/>
      <c r="AV32"/>
      <c r="AW32"/>
      <c r="AX32"/>
      <c r="AY32"/>
      <c r="AZ32"/>
      <c r="BA32"/>
      <c r="BB32"/>
      <c r="BC32"/>
      <c r="BD32"/>
      <c r="BE32"/>
      <c r="BF32"/>
      <c r="BG32"/>
      <c r="BH32"/>
      <c r="BI32"/>
      <c r="BP32"/>
      <c r="BQ32"/>
      <c r="BR32"/>
      <c r="BS32"/>
      <c r="BT32"/>
    </row>
    <row r="33" spans="1:72" ht="14.1" customHeight="1">
      <c r="B33" s="447"/>
      <c r="C33" s="444"/>
      <c r="D33" s="65" t="s">
        <v>79</v>
      </c>
      <c r="E33" s="291"/>
      <c r="F33" s="291"/>
      <c r="G33" s="291"/>
      <c r="H33" s="291"/>
      <c r="I33" s="291"/>
      <c r="J33" s="291"/>
      <c r="K33" s="291"/>
      <c r="L33" s="291"/>
      <c r="M33" s="291"/>
      <c r="N33" s="291"/>
      <c r="O33" s="64"/>
      <c r="P33" s="291"/>
      <c r="Q33" s="291"/>
      <c r="R33" s="291"/>
      <c r="S33" s="291"/>
      <c r="T33" s="291"/>
      <c r="U33" s="372"/>
      <c r="V33" s="291"/>
      <c r="W33" s="291"/>
      <c r="X33" s="291"/>
      <c r="Y33" s="291"/>
      <c r="Z33" s="296"/>
      <c r="AA33" s="291">
        <v>7</v>
      </c>
      <c r="AB33" s="291"/>
      <c r="AC33" s="291"/>
      <c r="AD33" s="291"/>
      <c r="AE33" s="291"/>
      <c r="AF33" s="369"/>
      <c r="AG33" s="291"/>
      <c r="AH33" s="291"/>
      <c r="AI33" s="291"/>
      <c r="AJ33" s="291"/>
      <c r="AK33" s="35" t="s">
        <v>11</v>
      </c>
      <c r="AM33"/>
      <c r="AN33"/>
      <c r="AO33"/>
      <c r="AP33"/>
      <c r="AQ33"/>
      <c r="AR33"/>
      <c r="AS33"/>
      <c r="AT33"/>
      <c r="AU33"/>
      <c r="AV33"/>
      <c r="AW33"/>
      <c r="AX33"/>
      <c r="AY33"/>
      <c r="AZ33"/>
      <c r="BA33"/>
      <c r="BB33"/>
      <c r="BC33"/>
      <c r="BD33"/>
      <c r="BE33"/>
      <c r="BF33"/>
      <c r="BG33"/>
      <c r="BH33"/>
      <c r="BI33"/>
      <c r="BP33"/>
      <c r="BQ33"/>
      <c r="BR33"/>
      <c r="BS33"/>
      <c r="BT33"/>
    </row>
    <row r="34" spans="1:72" ht="14.1" customHeight="1">
      <c r="B34" s="445" t="s">
        <v>161</v>
      </c>
      <c r="C34" s="446" t="s">
        <v>120</v>
      </c>
      <c r="D34" s="65" t="s">
        <v>80</v>
      </c>
      <c r="E34" s="292"/>
      <c r="F34" s="292"/>
      <c r="G34" s="292"/>
      <c r="H34" s="292"/>
      <c r="I34" s="292"/>
      <c r="J34" s="292"/>
      <c r="K34" s="292"/>
      <c r="L34" s="292"/>
      <c r="M34" s="292"/>
      <c r="N34" s="292"/>
      <c r="O34" s="64"/>
      <c r="P34" s="292"/>
      <c r="Q34" s="292"/>
      <c r="R34" s="292"/>
      <c r="S34" s="292"/>
      <c r="T34" s="292"/>
      <c r="U34" s="373"/>
      <c r="V34" s="292"/>
      <c r="W34" s="292"/>
      <c r="X34" s="292"/>
      <c r="Y34" s="292"/>
      <c r="Z34" s="296"/>
      <c r="AA34" s="429">
        <v>318</v>
      </c>
      <c r="AB34" s="292"/>
      <c r="AC34" s="292"/>
      <c r="AD34" s="292"/>
      <c r="AE34" s="292"/>
      <c r="AF34" s="370"/>
      <c r="AG34" s="292"/>
      <c r="AH34" s="292"/>
      <c r="AI34" s="292"/>
      <c r="AJ34" s="292"/>
      <c r="AK34" s="35" t="s">
        <v>11</v>
      </c>
      <c r="AM34"/>
      <c r="AN34"/>
      <c r="AO34"/>
      <c r="AP34"/>
      <c r="AQ34"/>
      <c r="AR34"/>
      <c r="AS34"/>
      <c r="AT34"/>
      <c r="AU34"/>
      <c r="AV34"/>
      <c r="AW34"/>
      <c r="AX34"/>
      <c r="AY34"/>
      <c r="AZ34"/>
      <c r="BA34"/>
      <c r="BB34"/>
      <c r="BC34"/>
      <c r="BD34"/>
      <c r="BE34"/>
      <c r="BF34"/>
      <c r="BG34"/>
      <c r="BH34"/>
      <c r="BI34"/>
      <c r="BP34"/>
      <c r="BQ34"/>
      <c r="BR34"/>
      <c r="BS34"/>
      <c r="BT34"/>
    </row>
    <row r="35" spans="1:72" ht="14.1" customHeight="1">
      <c r="B35" s="445"/>
      <c r="C35" s="446"/>
      <c r="D35" s="65" t="s">
        <v>81</v>
      </c>
      <c r="E35" s="292"/>
      <c r="F35" s="292"/>
      <c r="G35" s="292"/>
      <c r="H35" s="292"/>
      <c r="I35" s="292"/>
      <c r="J35" s="292"/>
      <c r="K35" s="292"/>
      <c r="L35" s="292"/>
      <c r="M35" s="292"/>
      <c r="N35" s="292"/>
      <c r="O35" s="64"/>
      <c r="P35" s="292"/>
      <c r="Q35" s="292"/>
      <c r="R35" s="292"/>
      <c r="S35" s="292"/>
      <c r="T35" s="292"/>
      <c r="U35" s="373"/>
      <c r="V35" s="292"/>
      <c r="W35" s="292"/>
      <c r="X35" s="292"/>
      <c r="Y35" s="292"/>
      <c r="Z35" s="296"/>
      <c r="AA35" s="428">
        <v>377</v>
      </c>
      <c r="AB35" s="292"/>
      <c r="AC35" s="292"/>
      <c r="AD35" s="292"/>
      <c r="AE35" s="292"/>
      <c r="AF35" s="370"/>
      <c r="AG35" s="292"/>
      <c r="AH35" s="292"/>
      <c r="AI35" s="292"/>
      <c r="AJ35" s="292"/>
      <c r="AK35" s="35" t="s">
        <v>11</v>
      </c>
      <c r="AM35"/>
      <c r="AN35"/>
      <c r="AO35"/>
      <c r="AP35"/>
      <c r="AQ35"/>
      <c r="AR35"/>
      <c r="AS35"/>
      <c r="AT35"/>
      <c r="AU35"/>
      <c r="AV35"/>
      <c r="AW35"/>
      <c r="AX35"/>
      <c r="AY35"/>
      <c r="AZ35"/>
      <c r="BA35"/>
      <c r="BB35"/>
      <c r="BC35"/>
      <c r="BD35"/>
      <c r="BE35"/>
      <c r="BF35"/>
      <c r="BG35"/>
      <c r="BH35"/>
      <c r="BI35"/>
      <c r="BP35"/>
      <c r="BQ35"/>
      <c r="BR35"/>
      <c r="BS35"/>
      <c r="BT35"/>
    </row>
    <row r="36" spans="1:72" ht="14.1" customHeight="1">
      <c r="B36" s="445"/>
      <c r="C36" s="446"/>
      <c r="D36" s="65" t="s">
        <v>79</v>
      </c>
      <c r="E36" s="292"/>
      <c r="F36" s="292"/>
      <c r="G36" s="292"/>
      <c r="H36" s="292"/>
      <c r="I36" s="292"/>
      <c r="J36" s="292"/>
      <c r="K36" s="292"/>
      <c r="L36" s="292"/>
      <c r="M36" s="292"/>
      <c r="N36" s="292"/>
      <c r="O36" s="64"/>
      <c r="P36" s="292"/>
      <c r="Q36" s="292"/>
      <c r="R36" s="292"/>
      <c r="S36" s="292"/>
      <c r="T36" s="292"/>
      <c r="U36" s="373"/>
      <c r="V36" s="292"/>
      <c r="W36" s="292"/>
      <c r="X36" s="292"/>
      <c r="Y36" s="292"/>
      <c r="Z36" s="296"/>
      <c r="AA36" s="428">
        <v>530</v>
      </c>
      <c r="AB36" s="292"/>
      <c r="AC36" s="292"/>
      <c r="AD36" s="292"/>
      <c r="AE36" s="292"/>
      <c r="AF36" s="370"/>
      <c r="AG36" s="292"/>
      <c r="AH36" s="292"/>
      <c r="AI36" s="292"/>
      <c r="AJ36" s="292"/>
      <c r="AK36" s="35" t="s">
        <v>11</v>
      </c>
      <c r="AM36"/>
      <c r="AN36"/>
      <c r="AO36"/>
      <c r="AP36"/>
      <c r="AQ36"/>
      <c r="AR36"/>
      <c r="AS36"/>
      <c r="AT36"/>
      <c r="AU36"/>
      <c r="AV36"/>
      <c r="AW36"/>
      <c r="AX36"/>
      <c r="AY36"/>
      <c r="AZ36"/>
      <c r="BA36"/>
      <c r="BB36"/>
      <c r="BC36"/>
      <c r="BD36"/>
      <c r="BE36"/>
      <c r="BF36"/>
      <c r="BG36"/>
      <c r="BH36"/>
      <c r="BI36"/>
      <c r="BP36"/>
      <c r="BQ36"/>
      <c r="BR36"/>
      <c r="BS36"/>
      <c r="BT36"/>
    </row>
    <row r="37" spans="1:72" ht="14.1" customHeight="1">
      <c r="B37" s="447" t="s">
        <v>342</v>
      </c>
      <c r="C37" s="446" t="s">
        <v>120</v>
      </c>
      <c r="D37" s="65" t="s">
        <v>80</v>
      </c>
      <c r="E37" s="297"/>
      <c r="F37" s="297"/>
      <c r="G37" s="297"/>
      <c r="H37" s="297"/>
      <c r="I37" s="297"/>
      <c r="J37" s="297"/>
      <c r="K37" s="297"/>
      <c r="L37" s="297"/>
      <c r="M37" s="297"/>
      <c r="N37" s="297"/>
      <c r="O37" s="64"/>
      <c r="P37" s="297"/>
      <c r="Q37" s="297"/>
      <c r="R37" s="297"/>
      <c r="S37" s="297"/>
      <c r="T37" s="297"/>
      <c r="U37" s="374"/>
      <c r="V37" s="297"/>
      <c r="W37" s="297"/>
      <c r="X37" s="297"/>
      <c r="Y37" s="297"/>
      <c r="Z37" s="296"/>
      <c r="AA37" s="297">
        <v>9</v>
      </c>
      <c r="AB37" s="297"/>
      <c r="AC37" s="297"/>
      <c r="AD37" s="297"/>
      <c r="AE37" s="297"/>
      <c r="AF37" s="371"/>
      <c r="AG37" s="297"/>
      <c r="AH37" s="297"/>
      <c r="AI37" s="297"/>
      <c r="AJ37" s="297"/>
      <c r="AK37" s="35" t="s">
        <v>11</v>
      </c>
      <c r="AM37"/>
      <c r="AN37"/>
      <c r="AO37"/>
      <c r="AP37"/>
      <c r="AQ37"/>
      <c r="AR37"/>
      <c r="AS37"/>
      <c r="AT37"/>
      <c r="AU37"/>
      <c r="AV37"/>
      <c r="AW37"/>
      <c r="AX37"/>
      <c r="AY37"/>
      <c r="AZ37"/>
      <c r="BA37"/>
      <c r="BB37"/>
      <c r="BC37"/>
      <c r="BD37"/>
      <c r="BE37"/>
      <c r="BF37"/>
      <c r="BG37"/>
      <c r="BH37"/>
      <c r="BI37"/>
      <c r="BP37"/>
      <c r="BQ37"/>
      <c r="BR37"/>
      <c r="BS37"/>
      <c r="BT37"/>
    </row>
    <row r="38" spans="1:72" ht="14.1" customHeight="1">
      <c r="B38" s="447"/>
      <c r="C38" s="446"/>
      <c r="D38" s="65" t="s">
        <v>81</v>
      </c>
      <c r="E38" s="297"/>
      <c r="F38" s="297"/>
      <c r="G38" s="297"/>
      <c r="H38" s="297"/>
      <c r="I38" s="297"/>
      <c r="J38" s="297"/>
      <c r="K38" s="297"/>
      <c r="L38" s="297"/>
      <c r="M38" s="297"/>
      <c r="N38" s="297"/>
      <c r="O38" s="64"/>
      <c r="P38" s="297"/>
      <c r="Q38" s="297"/>
      <c r="R38" s="297"/>
      <c r="S38" s="297"/>
      <c r="T38" s="297"/>
      <c r="U38" s="374"/>
      <c r="V38" s="297"/>
      <c r="W38" s="297"/>
      <c r="X38" s="297"/>
      <c r="Y38" s="297"/>
      <c r="Z38" s="296"/>
      <c r="AA38" s="297">
        <v>9</v>
      </c>
      <c r="AB38" s="297"/>
      <c r="AC38" s="297"/>
      <c r="AD38" s="297"/>
      <c r="AE38" s="297"/>
      <c r="AF38" s="371"/>
      <c r="AG38" s="297"/>
      <c r="AH38" s="297"/>
      <c r="AI38" s="297"/>
      <c r="AJ38" s="297"/>
      <c r="AK38" s="35" t="s">
        <v>11</v>
      </c>
      <c r="AM38"/>
      <c r="AN38"/>
      <c r="AO38"/>
      <c r="AP38"/>
      <c r="AQ38"/>
      <c r="AR38"/>
      <c r="AS38"/>
      <c r="AT38"/>
      <c r="AU38"/>
      <c r="AV38"/>
      <c r="AW38"/>
      <c r="AX38"/>
      <c r="AY38"/>
      <c r="AZ38"/>
      <c r="BA38"/>
      <c r="BB38"/>
      <c r="BC38"/>
      <c r="BD38"/>
      <c r="BE38"/>
      <c r="BF38"/>
      <c r="BG38"/>
      <c r="BH38"/>
      <c r="BI38"/>
      <c r="BP38"/>
      <c r="BQ38"/>
      <c r="BR38"/>
      <c r="BS38"/>
      <c r="BT38"/>
    </row>
    <row r="39" spans="1:72" ht="14.1" customHeight="1">
      <c r="B39" s="447"/>
      <c r="C39" s="446"/>
      <c r="D39" s="65" t="s">
        <v>79</v>
      </c>
      <c r="E39" s="297"/>
      <c r="F39" s="297"/>
      <c r="G39" s="297"/>
      <c r="H39" s="297"/>
      <c r="I39" s="297"/>
      <c r="J39" s="297"/>
      <c r="K39" s="297"/>
      <c r="L39" s="297"/>
      <c r="M39" s="297"/>
      <c r="N39" s="297"/>
      <c r="O39" s="64"/>
      <c r="P39" s="297"/>
      <c r="Q39" s="297"/>
      <c r="R39" s="297"/>
      <c r="S39" s="297"/>
      <c r="T39" s="297"/>
      <c r="U39" s="374"/>
      <c r="V39" s="297"/>
      <c r="W39" s="297"/>
      <c r="X39" s="297"/>
      <c r="Y39" s="297"/>
      <c r="Z39" s="296"/>
      <c r="AA39" s="297">
        <v>9</v>
      </c>
      <c r="AB39" s="297"/>
      <c r="AC39" s="297"/>
      <c r="AD39" s="297"/>
      <c r="AE39" s="297"/>
      <c r="AF39" s="371"/>
      <c r="AG39" s="297"/>
      <c r="AH39" s="297"/>
      <c r="AI39" s="297"/>
      <c r="AJ39" s="297"/>
      <c r="AK39" s="35" t="s">
        <v>11</v>
      </c>
      <c r="AM39"/>
      <c r="AN39"/>
      <c r="AO39"/>
      <c r="AP39"/>
      <c r="AQ39"/>
      <c r="AR39"/>
      <c r="AS39"/>
      <c r="AT39"/>
      <c r="AU39"/>
      <c r="AV39"/>
      <c r="AW39"/>
      <c r="AX39"/>
      <c r="AY39"/>
      <c r="AZ39"/>
      <c r="BA39"/>
      <c r="BB39"/>
      <c r="BC39"/>
      <c r="BD39"/>
      <c r="BE39"/>
      <c r="BF39"/>
      <c r="BG39"/>
      <c r="BH39"/>
      <c r="BI39"/>
      <c r="BP39"/>
      <c r="BQ39"/>
      <c r="BR39"/>
      <c r="BS39"/>
      <c r="BT39"/>
    </row>
    <row r="40" spans="1:72" ht="14.1" customHeight="1">
      <c r="B40" s="445" t="s">
        <v>162</v>
      </c>
      <c r="C40" s="446" t="s">
        <v>121</v>
      </c>
      <c r="D40" s="65" t="s">
        <v>80</v>
      </c>
      <c r="E40" s="292"/>
      <c r="F40" s="292"/>
      <c r="G40" s="292"/>
      <c r="H40" s="292"/>
      <c r="I40" s="292"/>
      <c r="J40" s="292"/>
      <c r="K40" s="292"/>
      <c r="L40" s="292"/>
      <c r="M40" s="292"/>
      <c r="N40" s="292"/>
      <c r="O40" s="64"/>
      <c r="P40" s="292"/>
      <c r="Q40" s="292"/>
      <c r="R40" s="292"/>
      <c r="S40" s="292"/>
      <c r="T40" s="292"/>
      <c r="U40" s="373"/>
      <c r="V40" s="292"/>
      <c r="W40" s="292"/>
      <c r="X40" s="292"/>
      <c r="Y40" s="292"/>
      <c r="Z40" s="296"/>
      <c r="AA40" s="429">
        <v>345</v>
      </c>
      <c r="AB40" s="292"/>
      <c r="AC40" s="292"/>
      <c r="AD40" s="292"/>
      <c r="AE40" s="292"/>
      <c r="AF40" s="370"/>
      <c r="AG40" s="292"/>
      <c r="AH40" s="292"/>
      <c r="AI40" s="292"/>
      <c r="AJ40" s="292"/>
      <c r="AK40" s="35" t="s">
        <v>11</v>
      </c>
      <c r="AM40"/>
      <c r="AN40"/>
      <c r="AO40"/>
      <c r="AP40"/>
      <c r="AQ40"/>
      <c r="AR40"/>
      <c r="AS40"/>
      <c r="AT40"/>
      <c r="AU40"/>
      <c r="AV40"/>
      <c r="AW40"/>
      <c r="AX40"/>
      <c r="AY40"/>
      <c r="AZ40"/>
      <c r="BA40"/>
      <c r="BB40"/>
      <c r="BC40"/>
      <c r="BD40"/>
      <c r="BE40"/>
      <c r="BF40"/>
      <c r="BG40"/>
      <c r="BH40"/>
      <c r="BI40"/>
      <c r="BP40"/>
      <c r="BQ40"/>
      <c r="BR40"/>
      <c r="BS40"/>
      <c r="BT40"/>
    </row>
    <row r="41" spans="1:72" ht="14.1" customHeight="1">
      <c r="B41" s="445"/>
      <c r="C41" s="446"/>
      <c r="D41" s="65" t="s">
        <v>81</v>
      </c>
      <c r="E41" s="292"/>
      <c r="F41" s="292"/>
      <c r="G41" s="292"/>
      <c r="H41" s="292"/>
      <c r="I41" s="292"/>
      <c r="J41" s="292"/>
      <c r="K41" s="292"/>
      <c r="L41" s="292"/>
      <c r="M41" s="292"/>
      <c r="N41" s="292"/>
      <c r="O41" s="64"/>
      <c r="P41" s="292"/>
      <c r="Q41" s="292"/>
      <c r="R41" s="292"/>
      <c r="S41" s="292"/>
      <c r="T41" s="292"/>
      <c r="U41" s="373"/>
      <c r="V41" s="292"/>
      <c r="W41" s="292"/>
      <c r="X41" s="292"/>
      <c r="Y41" s="292"/>
      <c r="Z41" s="296"/>
      <c r="AA41" s="428">
        <v>349</v>
      </c>
      <c r="AB41" s="292"/>
      <c r="AC41" s="292"/>
      <c r="AD41" s="292"/>
      <c r="AE41" s="292"/>
      <c r="AF41" s="370"/>
      <c r="AG41" s="292"/>
      <c r="AH41" s="292"/>
      <c r="AI41" s="292"/>
      <c r="AJ41" s="292"/>
      <c r="AK41" s="35" t="s">
        <v>11</v>
      </c>
      <c r="AM41"/>
      <c r="AN41"/>
      <c r="AO41"/>
      <c r="AP41"/>
      <c r="AQ41"/>
      <c r="AR41"/>
      <c r="AS41"/>
      <c r="AT41"/>
      <c r="AU41"/>
      <c r="AV41"/>
      <c r="AW41"/>
      <c r="AX41"/>
      <c r="AY41"/>
      <c r="AZ41"/>
      <c r="BA41"/>
      <c r="BB41"/>
      <c r="BC41"/>
      <c r="BD41"/>
      <c r="BE41"/>
      <c r="BF41"/>
      <c r="BG41"/>
      <c r="BH41"/>
      <c r="BI41"/>
      <c r="BP41"/>
      <c r="BQ41"/>
      <c r="BR41"/>
      <c r="BS41"/>
      <c r="BT41"/>
    </row>
    <row r="42" spans="1:72" ht="14.1" customHeight="1">
      <c r="B42" s="445"/>
      <c r="C42" s="446"/>
      <c r="D42" s="65" t="s">
        <v>79</v>
      </c>
      <c r="E42" s="292"/>
      <c r="F42" s="292"/>
      <c r="G42" s="292"/>
      <c r="H42" s="292"/>
      <c r="I42" s="292"/>
      <c r="J42" s="292"/>
      <c r="K42" s="292"/>
      <c r="L42" s="292"/>
      <c r="M42" s="292"/>
      <c r="N42" s="292"/>
      <c r="O42" s="64"/>
      <c r="P42" s="292"/>
      <c r="Q42" s="292"/>
      <c r="R42" s="292"/>
      <c r="S42" s="292"/>
      <c r="T42" s="292"/>
      <c r="U42" s="373"/>
      <c r="V42" s="292"/>
      <c r="W42" s="292"/>
      <c r="X42" s="292"/>
      <c r="Y42" s="292"/>
      <c r="Z42" s="296"/>
      <c r="AA42" s="428">
        <v>479</v>
      </c>
      <c r="AB42" s="292"/>
      <c r="AC42" s="292"/>
      <c r="AD42" s="292"/>
      <c r="AE42" s="292"/>
      <c r="AF42" s="370"/>
      <c r="AG42" s="292"/>
      <c r="AH42" s="292"/>
      <c r="AI42" s="292"/>
      <c r="AJ42" s="292"/>
      <c r="AK42" s="35" t="s">
        <v>11</v>
      </c>
      <c r="AM42"/>
      <c r="AN42"/>
      <c r="AO42"/>
      <c r="AP42"/>
      <c r="AQ42"/>
      <c r="AR42"/>
      <c r="AS42"/>
      <c r="AT42"/>
      <c r="AU42"/>
      <c r="AV42"/>
      <c r="AW42"/>
      <c r="AX42"/>
      <c r="AY42"/>
      <c r="AZ42"/>
      <c r="BA42"/>
      <c r="BB42"/>
      <c r="BC42"/>
      <c r="BD42"/>
      <c r="BE42"/>
      <c r="BF42"/>
      <c r="BG42"/>
      <c r="BH42"/>
      <c r="BI42"/>
      <c r="BP42"/>
      <c r="BQ42"/>
      <c r="BR42"/>
      <c r="BS42"/>
      <c r="BT42"/>
    </row>
    <row r="43" spans="1:72" ht="14.1" customHeight="1">
      <c r="B43" s="447" t="s">
        <v>343</v>
      </c>
      <c r="C43" s="446" t="s">
        <v>121</v>
      </c>
      <c r="D43" s="65" t="s">
        <v>80</v>
      </c>
      <c r="E43" s="297"/>
      <c r="F43" s="297"/>
      <c r="G43" s="297"/>
      <c r="H43" s="297"/>
      <c r="I43" s="297"/>
      <c r="J43" s="297"/>
      <c r="K43" s="297"/>
      <c r="L43" s="297"/>
      <c r="M43" s="297"/>
      <c r="N43" s="297"/>
      <c r="O43" s="64"/>
      <c r="P43" s="297"/>
      <c r="Q43" s="297"/>
      <c r="R43" s="297"/>
      <c r="S43" s="297"/>
      <c r="T43" s="297"/>
      <c r="U43" s="374"/>
      <c r="V43" s="297"/>
      <c r="W43" s="297"/>
      <c r="X43" s="297"/>
      <c r="Y43" s="297"/>
      <c r="Z43" s="296"/>
      <c r="AA43" s="297">
        <v>36</v>
      </c>
      <c r="AB43" s="297"/>
      <c r="AC43" s="297"/>
      <c r="AD43" s="297"/>
      <c r="AE43" s="297"/>
      <c r="AF43" s="371"/>
      <c r="AG43" s="297"/>
      <c r="AH43" s="297"/>
      <c r="AI43" s="297"/>
      <c r="AJ43" s="297"/>
      <c r="AK43" s="35" t="s">
        <v>11</v>
      </c>
      <c r="AM43"/>
      <c r="AN43"/>
      <c r="AO43"/>
      <c r="AP43"/>
      <c r="AQ43"/>
      <c r="AR43"/>
      <c r="AS43"/>
      <c r="AT43"/>
      <c r="AU43"/>
      <c r="AV43"/>
      <c r="AW43"/>
      <c r="AX43"/>
      <c r="AY43"/>
      <c r="AZ43"/>
      <c r="BA43"/>
      <c r="BB43"/>
      <c r="BC43"/>
      <c r="BD43"/>
      <c r="BE43"/>
      <c r="BF43"/>
      <c r="BG43"/>
      <c r="BH43"/>
      <c r="BI43"/>
      <c r="BP43"/>
      <c r="BQ43"/>
      <c r="BR43"/>
      <c r="BS43"/>
      <c r="BT43"/>
    </row>
    <row r="44" spans="1:72" ht="14.1" customHeight="1">
      <c r="B44" s="447"/>
      <c r="C44" s="446"/>
      <c r="D44" s="65" t="s">
        <v>81</v>
      </c>
      <c r="E44" s="297"/>
      <c r="F44" s="297"/>
      <c r="G44" s="297"/>
      <c r="H44" s="297"/>
      <c r="I44" s="297"/>
      <c r="J44" s="297"/>
      <c r="K44" s="297"/>
      <c r="L44" s="297"/>
      <c r="M44" s="297"/>
      <c r="N44" s="297"/>
      <c r="O44" s="64"/>
      <c r="P44" s="297"/>
      <c r="Q44" s="297"/>
      <c r="R44" s="297"/>
      <c r="S44" s="297"/>
      <c r="T44" s="297"/>
      <c r="U44" s="374"/>
      <c r="V44" s="297"/>
      <c r="W44" s="297"/>
      <c r="X44" s="297"/>
      <c r="Y44" s="297"/>
      <c r="Z44" s="296"/>
      <c r="AA44" s="297">
        <v>37</v>
      </c>
      <c r="AB44" s="297"/>
      <c r="AC44" s="297"/>
      <c r="AD44" s="297"/>
      <c r="AE44" s="297"/>
      <c r="AF44" s="371"/>
      <c r="AG44" s="297"/>
      <c r="AH44" s="297"/>
      <c r="AI44" s="297"/>
      <c r="AJ44" s="297"/>
      <c r="AK44" s="35" t="s">
        <v>11</v>
      </c>
      <c r="AM44"/>
      <c r="AN44"/>
      <c r="AO44"/>
      <c r="AP44"/>
      <c r="AQ44"/>
      <c r="AR44"/>
      <c r="AS44"/>
      <c r="AT44"/>
      <c r="AU44"/>
      <c r="AV44"/>
      <c r="AW44"/>
      <c r="AX44"/>
      <c r="AY44"/>
      <c r="AZ44"/>
      <c r="BA44"/>
      <c r="BB44"/>
      <c r="BC44"/>
      <c r="BD44"/>
      <c r="BE44"/>
      <c r="BF44"/>
      <c r="BG44"/>
      <c r="BH44"/>
      <c r="BI44"/>
      <c r="BP44"/>
      <c r="BQ44"/>
      <c r="BR44"/>
      <c r="BS44"/>
      <c r="BT44"/>
    </row>
    <row r="45" spans="1:72" ht="14.1" customHeight="1">
      <c r="B45" s="447"/>
      <c r="C45" s="446"/>
      <c r="D45" s="65" t="s">
        <v>79</v>
      </c>
      <c r="E45" s="297"/>
      <c r="F45" s="297"/>
      <c r="G45" s="297"/>
      <c r="H45" s="297"/>
      <c r="I45" s="297"/>
      <c r="J45" s="297"/>
      <c r="K45" s="297"/>
      <c r="L45" s="297"/>
      <c r="M45" s="297"/>
      <c r="N45" s="297"/>
      <c r="O45" s="64"/>
      <c r="P45" s="297"/>
      <c r="Q45" s="297"/>
      <c r="R45" s="297"/>
      <c r="S45" s="297"/>
      <c r="T45" s="297"/>
      <c r="U45" s="374"/>
      <c r="V45" s="297"/>
      <c r="W45" s="297"/>
      <c r="X45" s="297"/>
      <c r="Y45" s="297"/>
      <c r="Z45" s="296"/>
      <c r="AA45" s="297">
        <v>64</v>
      </c>
      <c r="AB45" s="297"/>
      <c r="AC45" s="297"/>
      <c r="AD45" s="297"/>
      <c r="AE45" s="297"/>
      <c r="AF45" s="371"/>
      <c r="AG45" s="297"/>
      <c r="AH45" s="297"/>
      <c r="AI45" s="297"/>
      <c r="AJ45" s="297"/>
      <c r="AK45" s="35" t="s">
        <v>11</v>
      </c>
      <c r="AM45"/>
      <c r="AN45"/>
      <c r="AO45"/>
      <c r="AP45"/>
      <c r="AQ45"/>
      <c r="AR45"/>
      <c r="AS45"/>
      <c r="AT45"/>
      <c r="AU45"/>
      <c r="AV45"/>
      <c r="AW45"/>
      <c r="AX45"/>
      <c r="AY45"/>
      <c r="AZ45"/>
      <c r="BA45"/>
      <c r="BB45"/>
      <c r="BC45"/>
      <c r="BD45"/>
      <c r="BE45"/>
      <c r="BF45"/>
      <c r="BG45"/>
      <c r="BH45"/>
      <c r="BI45"/>
      <c r="BP45"/>
      <c r="BQ45"/>
      <c r="BR45"/>
      <c r="BS45"/>
      <c r="BT45"/>
    </row>
    <row r="46" spans="1:72" ht="14.1" customHeight="1">
      <c r="A46" s="299"/>
      <c r="B46" s="445" t="s">
        <v>398</v>
      </c>
      <c r="C46" s="442" t="s">
        <v>406</v>
      </c>
      <c r="D46" s="65" t="s">
        <v>80</v>
      </c>
      <c r="E46" s="292"/>
      <c r="F46" s="292"/>
      <c r="G46" s="292"/>
      <c r="H46" s="292"/>
      <c r="I46" s="292"/>
      <c r="J46" s="292"/>
      <c r="K46" s="292"/>
      <c r="L46" s="292"/>
      <c r="M46" s="292"/>
      <c r="N46" s="292"/>
      <c r="O46" s="64"/>
      <c r="P46" s="292"/>
      <c r="Q46" s="292"/>
      <c r="R46" s="292"/>
      <c r="S46" s="292"/>
      <c r="T46" s="292"/>
      <c r="U46" s="373"/>
      <c r="V46" s="292"/>
      <c r="W46" s="292"/>
      <c r="X46" s="292"/>
      <c r="Y46" s="292"/>
      <c r="Z46" s="296"/>
      <c r="AA46" s="292">
        <v>0</v>
      </c>
      <c r="AB46" s="292"/>
      <c r="AC46" s="292"/>
      <c r="AD46" s="292"/>
      <c r="AE46" s="292"/>
      <c r="AF46" s="370"/>
      <c r="AG46" s="292"/>
      <c r="AH46" s="292"/>
      <c r="AI46" s="292"/>
      <c r="AJ46" s="292"/>
      <c r="AK46" s="35" t="s">
        <v>11</v>
      </c>
      <c r="AM46"/>
      <c r="AN46"/>
      <c r="AO46"/>
      <c r="AP46"/>
      <c r="AQ46"/>
      <c r="AR46"/>
      <c r="AS46"/>
      <c r="AT46"/>
      <c r="AU46"/>
      <c r="AV46"/>
      <c r="AW46"/>
      <c r="AX46"/>
      <c r="AY46"/>
      <c r="AZ46"/>
      <c r="BA46"/>
      <c r="BB46"/>
      <c r="BC46"/>
      <c r="BD46"/>
      <c r="BE46"/>
      <c r="BF46"/>
      <c r="BG46"/>
      <c r="BH46"/>
      <c r="BI46"/>
      <c r="BP46"/>
      <c r="BQ46"/>
      <c r="BR46"/>
      <c r="BS46"/>
      <c r="BT46"/>
    </row>
    <row r="47" spans="1:72" ht="14.1" customHeight="1">
      <c r="A47" s="299"/>
      <c r="B47" s="445"/>
      <c r="C47" s="443"/>
      <c r="D47" s="65" t="s">
        <v>81</v>
      </c>
      <c r="E47" s="292"/>
      <c r="F47" s="292"/>
      <c r="G47" s="292"/>
      <c r="H47" s="292"/>
      <c r="I47" s="292"/>
      <c r="J47" s="292"/>
      <c r="K47" s="292"/>
      <c r="L47" s="292"/>
      <c r="M47" s="292"/>
      <c r="N47" s="292"/>
      <c r="O47" s="64"/>
      <c r="P47" s="292"/>
      <c r="Q47" s="292"/>
      <c r="R47" s="292"/>
      <c r="S47" s="292"/>
      <c r="T47" s="292"/>
      <c r="U47" s="373"/>
      <c r="V47" s="292"/>
      <c r="W47" s="292"/>
      <c r="X47" s="292"/>
      <c r="Y47" s="292"/>
      <c r="Z47" s="296"/>
      <c r="AA47" s="292">
        <v>0</v>
      </c>
      <c r="AB47" s="292"/>
      <c r="AC47" s="292"/>
      <c r="AD47" s="292"/>
      <c r="AE47" s="292"/>
      <c r="AF47" s="370"/>
      <c r="AG47" s="292"/>
      <c r="AH47" s="292"/>
      <c r="AI47" s="292"/>
      <c r="AJ47" s="292"/>
      <c r="AK47" s="35" t="s">
        <v>11</v>
      </c>
      <c r="AM47"/>
      <c r="AN47"/>
      <c r="AO47"/>
      <c r="AP47"/>
      <c r="AQ47"/>
      <c r="AR47"/>
      <c r="AS47"/>
      <c r="AT47"/>
      <c r="AU47"/>
      <c r="AV47"/>
      <c r="AW47"/>
      <c r="AX47"/>
      <c r="AY47"/>
      <c r="AZ47"/>
      <c r="BA47"/>
      <c r="BB47"/>
      <c r="BC47"/>
      <c r="BD47"/>
      <c r="BE47"/>
      <c r="BF47"/>
      <c r="BG47"/>
      <c r="BH47"/>
      <c r="BI47"/>
      <c r="BP47"/>
      <c r="BQ47"/>
      <c r="BR47"/>
      <c r="BS47"/>
      <c r="BT47"/>
    </row>
    <row r="48" spans="1:72" ht="14.1" customHeight="1">
      <c r="A48" s="299"/>
      <c r="B48" s="445"/>
      <c r="C48" s="444"/>
      <c r="D48" s="65" t="s">
        <v>79</v>
      </c>
      <c r="E48" s="292"/>
      <c r="F48" s="292"/>
      <c r="G48" s="292"/>
      <c r="H48" s="292"/>
      <c r="I48" s="292"/>
      <c r="J48" s="292"/>
      <c r="K48" s="292"/>
      <c r="L48" s="292"/>
      <c r="M48" s="292"/>
      <c r="N48" s="292"/>
      <c r="O48" s="64"/>
      <c r="P48" s="292"/>
      <c r="Q48" s="292"/>
      <c r="R48" s="292"/>
      <c r="S48" s="292"/>
      <c r="T48" s="292"/>
      <c r="U48" s="373"/>
      <c r="V48" s="292"/>
      <c r="W48" s="292"/>
      <c r="X48" s="292"/>
      <c r="Y48" s="292"/>
      <c r="Z48" s="296"/>
      <c r="AA48" s="292">
        <v>0</v>
      </c>
      <c r="AB48" s="292"/>
      <c r="AC48" s="292"/>
      <c r="AD48" s="292"/>
      <c r="AE48" s="292"/>
      <c r="AF48" s="370"/>
      <c r="AG48" s="292"/>
      <c r="AH48" s="292"/>
      <c r="AI48" s="292"/>
      <c r="AJ48" s="292"/>
      <c r="AK48" s="35" t="s">
        <v>11</v>
      </c>
      <c r="AM48"/>
      <c r="AN48"/>
      <c r="AO48"/>
      <c r="AP48"/>
      <c r="AQ48"/>
      <c r="AR48"/>
      <c r="AS48"/>
      <c r="AT48"/>
      <c r="AU48"/>
      <c r="AV48"/>
      <c r="AW48"/>
      <c r="AX48"/>
      <c r="AY48"/>
      <c r="AZ48"/>
      <c r="BA48"/>
      <c r="BB48"/>
      <c r="BC48"/>
      <c r="BD48"/>
      <c r="BE48"/>
      <c r="BF48"/>
      <c r="BG48"/>
      <c r="BH48"/>
      <c r="BI48"/>
      <c r="BP48"/>
      <c r="BQ48"/>
      <c r="BR48"/>
      <c r="BS48"/>
      <c r="BT48"/>
    </row>
    <row r="49" spans="1:72" ht="14.1" customHeight="1">
      <c r="A49" s="299"/>
      <c r="B49" s="447" t="s">
        <v>399</v>
      </c>
      <c r="C49" s="442" t="s">
        <v>406</v>
      </c>
      <c r="D49" s="65" t="s">
        <v>80</v>
      </c>
      <c r="E49" s="297"/>
      <c r="F49" s="297"/>
      <c r="G49" s="297"/>
      <c r="H49" s="297"/>
      <c r="I49" s="297"/>
      <c r="J49" s="297"/>
      <c r="K49" s="297"/>
      <c r="L49" s="297"/>
      <c r="M49" s="297"/>
      <c r="N49" s="297"/>
      <c r="O49" s="64"/>
      <c r="P49" s="297"/>
      <c r="Q49" s="297"/>
      <c r="R49" s="297"/>
      <c r="S49" s="297"/>
      <c r="T49" s="297"/>
      <c r="U49" s="374"/>
      <c r="V49" s="297"/>
      <c r="W49" s="297"/>
      <c r="X49" s="297"/>
      <c r="Y49" s="297"/>
      <c r="Z49" s="296"/>
      <c r="AA49" s="297">
        <v>0</v>
      </c>
      <c r="AB49" s="297"/>
      <c r="AC49" s="297"/>
      <c r="AD49" s="297"/>
      <c r="AE49" s="297"/>
      <c r="AF49" s="371"/>
      <c r="AG49" s="297"/>
      <c r="AH49" s="297"/>
      <c r="AI49" s="297"/>
      <c r="AJ49" s="297"/>
      <c r="AK49" s="35" t="s">
        <v>11</v>
      </c>
      <c r="AM49"/>
      <c r="AN49"/>
      <c r="AO49"/>
      <c r="AP49"/>
      <c r="AQ49"/>
      <c r="AR49"/>
      <c r="AS49"/>
      <c r="AT49"/>
      <c r="AU49"/>
      <c r="AV49"/>
      <c r="AW49"/>
      <c r="AX49"/>
      <c r="AY49"/>
      <c r="AZ49"/>
      <c r="BA49"/>
      <c r="BB49"/>
      <c r="BC49"/>
      <c r="BD49"/>
      <c r="BE49"/>
      <c r="BF49"/>
      <c r="BG49"/>
      <c r="BH49"/>
      <c r="BI49"/>
      <c r="BP49"/>
      <c r="BQ49"/>
      <c r="BR49"/>
      <c r="BS49"/>
      <c r="BT49"/>
    </row>
    <row r="50" spans="1:72" ht="14.1" customHeight="1">
      <c r="A50" s="299"/>
      <c r="B50" s="447"/>
      <c r="C50" s="443"/>
      <c r="D50" s="65" t="s">
        <v>81</v>
      </c>
      <c r="E50" s="297"/>
      <c r="F50" s="297"/>
      <c r="G50" s="297"/>
      <c r="H50" s="297"/>
      <c r="I50" s="297"/>
      <c r="J50" s="297"/>
      <c r="K50" s="297"/>
      <c r="L50" s="297"/>
      <c r="M50" s="297"/>
      <c r="N50" s="297"/>
      <c r="O50" s="64"/>
      <c r="P50" s="297"/>
      <c r="Q50" s="297"/>
      <c r="R50" s="297"/>
      <c r="S50" s="297"/>
      <c r="T50" s="297"/>
      <c r="U50" s="374"/>
      <c r="V50" s="297"/>
      <c r="W50" s="297"/>
      <c r="X50" s="297"/>
      <c r="Y50" s="297"/>
      <c r="Z50" s="296"/>
      <c r="AA50" s="297">
        <v>0</v>
      </c>
      <c r="AB50" s="297"/>
      <c r="AC50" s="297"/>
      <c r="AD50" s="297"/>
      <c r="AE50" s="297"/>
      <c r="AF50" s="371"/>
      <c r="AG50" s="297"/>
      <c r="AH50" s="297"/>
      <c r="AI50" s="297"/>
      <c r="AJ50" s="297"/>
      <c r="AK50" s="35" t="s">
        <v>11</v>
      </c>
      <c r="AM50"/>
      <c r="AN50"/>
      <c r="AO50"/>
      <c r="AP50"/>
      <c r="AQ50"/>
      <c r="AR50"/>
      <c r="AS50"/>
      <c r="AT50"/>
      <c r="AU50"/>
      <c r="AV50"/>
      <c r="AW50"/>
      <c r="AX50"/>
      <c r="AY50"/>
      <c r="AZ50"/>
      <c r="BA50"/>
      <c r="BB50"/>
      <c r="BC50"/>
      <c r="BD50"/>
      <c r="BE50"/>
      <c r="BF50"/>
      <c r="BG50"/>
      <c r="BH50"/>
      <c r="BI50"/>
      <c r="BP50"/>
      <c r="BQ50"/>
      <c r="BR50"/>
      <c r="BS50"/>
      <c r="BT50"/>
    </row>
    <row r="51" spans="1:72" ht="14.1" customHeight="1">
      <c r="A51" s="299"/>
      <c r="B51" s="447"/>
      <c r="C51" s="444"/>
      <c r="D51" s="65" t="s">
        <v>79</v>
      </c>
      <c r="E51" s="297"/>
      <c r="F51" s="297"/>
      <c r="G51" s="297"/>
      <c r="H51" s="297"/>
      <c r="I51" s="297"/>
      <c r="J51" s="297"/>
      <c r="K51" s="297"/>
      <c r="L51" s="297"/>
      <c r="M51" s="297"/>
      <c r="N51" s="297"/>
      <c r="O51" s="64"/>
      <c r="P51" s="297"/>
      <c r="Q51" s="297"/>
      <c r="R51" s="297"/>
      <c r="S51" s="297"/>
      <c r="T51" s="297"/>
      <c r="U51" s="374"/>
      <c r="V51" s="297"/>
      <c r="W51" s="297"/>
      <c r="X51" s="297"/>
      <c r="Y51" s="297"/>
      <c r="Z51" s="296"/>
      <c r="AA51" s="297">
        <v>0</v>
      </c>
      <c r="AB51" s="297"/>
      <c r="AC51" s="297"/>
      <c r="AD51" s="297"/>
      <c r="AE51" s="297"/>
      <c r="AF51" s="371"/>
      <c r="AG51" s="297"/>
      <c r="AH51" s="297"/>
      <c r="AI51" s="297"/>
      <c r="AJ51" s="297"/>
      <c r="AK51" s="35" t="s">
        <v>11</v>
      </c>
      <c r="AM51"/>
      <c r="AN51"/>
      <c r="AO51"/>
      <c r="AP51"/>
      <c r="AQ51"/>
      <c r="AR51"/>
      <c r="AS51"/>
      <c r="AT51"/>
      <c r="AU51"/>
      <c r="AV51"/>
      <c r="AW51"/>
      <c r="AX51"/>
      <c r="AY51"/>
      <c r="AZ51"/>
      <c r="BA51"/>
      <c r="BB51"/>
      <c r="BC51"/>
      <c r="BD51"/>
      <c r="BE51"/>
      <c r="BF51"/>
      <c r="BG51"/>
      <c r="BH51"/>
      <c r="BI51"/>
      <c r="BP51"/>
      <c r="BQ51"/>
      <c r="BR51"/>
      <c r="BS51"/>
      <c r="BT51"/>
    </row>
    <row r="52" spans="1:72" ht="15">
      <c r="B52" s="247"/>
      <c r="C52" s="248"/>
      <c r="D52" s="249"/>
      <c r="E52" s="249"/>
      <c r="F52" s="249"/>
      <c r="G52" s="249"/>
      <c r="H52" s="249"/>
      <c r="I52" s="249"/>
      <c r="J52" s="249"/>
      <c r="K52" s="249"/>
      <c r="L52" s="249"/>
      <c r="M52" s="68"/>
      <c r="N52" s="69"/>
      <c r="O52" s="64"/>
      <c r="P52" s="249"/>
      <c r="Q52" s="249"/>
      <c r="R52" s="249"/>
      <c r="S52" s="249"/>
      <c r="T52" s="249"/>
      <c r="U52" s="249"/>
      <c r="V52" s="249"/>
      <c r="W52" s="249"/>
      <c r="X52" s="249"/>
      <c r="Y52" s="249"/>
      <c r="Z52" s="67"/>
      <c r="AA52" s="249"/>
      <c r="AB52" s="249"/>
      <c r="AC52" s="249"/>
      <c r="AD52" s="249"/>
      <c r="AE52" s="249"/>
      <c r="AF52" s="249"/>
      <c r="AG52" s="249"/>
      <c r="AH52" s="249"/>
      <c r="AI52" s="249"/>
      <c r="AJ52" s="249"/>
      <c r="AK52" s="36"/>
      <c r="AM52"/>
      <c r="AN52"/>
      <c r="AO52"/>
      <c r="AP52"/>
      <c r="AQ52"/>
      <c r="AR52"/>
      <c r="AS52"/>
      <c r="AT52"/>
      <c r="AU52"/>
      <c r="AV52"/>
      <c r="AW52"/>
      <c r="AX52"/>
      <c r="AY52"/>
      <c r="AZ52"/>
      <c r="BA52"/>
      <c r="BB52"/>
      <c r="BC52"/>
      <c r="BD52"/>
      <c r="BE52"/>
      <c r="BF52"/>
      <c r="BG52"/>
      <c r="BH52"/>
      <c r="BI52"/>
      <c r="BP52"/>
      <c r="BQ52"/>
      <c r="BR52"/>
      <c r="BS52"/>
      <c r="BT52"/>
    </row>
    <row r="53" spans="1:72" ht="30.75" customHeight="1">
      <c r="B53" s="50"/>
      <c r="C53" s="438" t="s">
        <v>143</v>
      </c>
      <c r="D53" s="438"/>
      <c r="E53" s="184">
        <f>2000/E5-0.001</f>
        <v>1.0708113612004289</v>
      </c>
      <c r="F53" s="184">
        <f>2000/F5-0.001</f>
        <v>0.93664650726676046</v>
      </c>
      <c r="G53" s="184">
        <f>2000/G5-0.001</f>
        <v>0.93664650726676046</v>
      </c>
      <c r="H53" s="184">
        <f t="shared" ref="H53:N53" si="0">2000/H5</f>
        <v>0.83333333333333337</v>
      </c>
      <c r="I53" s="184">
        <f t="shared" si="0"/>
        <v>0.83333333333333337</v>
      </c>
      <c r="J53" s="184">
        <f t="shared" si="0"/>
        <v>0.75018754688672173</v>
      </c>
      <c r="K53" s="184">
        <f t="shared" si="0"/>
        <v>0.75018754688672173</v>
      </c>
      <c r="L53" s="184">
        <f t="shared" si="0"/>
        <v>0.68189566996249573</v>
      </c>
      <c r="M53" s="184">
        <f t="shared" si="0"/>
        <v>0.68189566996249573</v>
      </c>
      <c r="N53" s="184">
        <f t="shared" si="0"/>
        <v>0.625</v>
      </c>
      <c r="O53" s="64"/>
      <c r="P53" s="184">
        <f>2000/P5-0.001</f>
        <v>1.0708113612004289</v>
      </c>
      <c r="Q53" s="184">
        <f>2000/Q5-0.001</f>
        <v>0.93664650726676046</v>
      </c>
      <c r="R53" s="184">
        <f>2000/R5-0.001</f>
        <v>0.93664650726676046</v>
      </c>
      <c r="S53" s="184">
        <f>2000/S5</f>
        <v>0.83333333333333337</v>
      </c>
      <c r="T53" s="184">
        <f>2000/T5</f>
        <v>0.83333333333333337</v>
      </c>
      <c r="U53" s="184">
        <v>0.75018754688672173</v>
      </c>
      <c r="V53" s="184">
        <v>0.75018754688672173</v>
      </c>
      <c r="W53" s="184">
        <f>2000/W5</f>
        <v>0.68189566996249573</v>
      </c>
      <c r="X53" s="184">
        <f>2000/X5</f>
        <v>0.68189566996249573</v>
      </c>
      <c r="Y53" s="184">
        <f>2000/Y5</f>
        <v>0.625</v>
      </c>
      <c r="Z53" s="67"/>
      <c r="AA53" s="184">
        <f>2000/AA5-0.001</f>
        <v>0.41566666666666668</v>
      </c>
      <c r="AB53" s="184">
        <f>2000/AB5-0.001</f>
        <v>0.93664650726676046</v>
      </c>
      <c r="AC53" s="184">
        <f>2000/AC5-0.001</f>
        <v>0.93664650726676046</v>
      </c>
      <c r="AD53" s="184">
        <f t="shared" ref="AD53:AJ53" si="1">2000/AD5</f>
        <v>0.83333333333333337</v>
      </c>
      <c r="AE53" s="184">
        <f t="shared" si="1"/>
        <v>0.83333333333333337</v>
      </c>
      <c r="AF53" s="184">
        <f t="shared" si="1"/>
        <v>0.75018754688672173</v>
      </c>
      <c r="AG53" s="184">
        <f t="shared" si="1"/>
        <v>0.75018754688672173</v>
      </c>
      <c r="AH53" s="184">
        <f t="shared" si="1"/>
        <v>0.68189566996249573</v>
      </c>
      <c r="AI53" s="184">
        <f t="shared" si="1"/>
        <v>0.68189566996249573</v>
      </c>
      <c r="AJ53" s="184">
        <f t="shared" si="1"/>
        <v>0.625</v>
      </c>
      <c r="AK53" s="35" t="s">
        <v>27</v>
      </c>
      <c r="AM53"/>
      <c r="AN53"/>
      <c r="AO53"/>
      <c r="AP53"/>
      <c r="AQ53"/>
      <c r="AR53"/>
      <c r="AS53"/>
      <c r="AT53"/>
      <c r="AU53"/>
      <c r="AV53"/>
      <c r="AW53"/>
      <c r="AX53"/>
      <c r="AY53"/>
      <c r="AZ53"/>
      <c r="BA53"/>
      <c r="BB53"/>
      <c r="BC53"/>
      <c r="BD53"/>
      <c r="BE53"/>
      <c r="BF53"/>
      <c r="BG53"/>
      <c r="BH53"/>
      <c r="BI53"/>
      <c r="BP53"/>
      <c r="BQ53"/>
      <c r="BR53"/>
      <c r="BS53"/>
      <c r="BT53"/>
    </row>
    <row r="54" spans="1:72" ht="14.1" customHeight="1">
      <c r="B54" s="439" t="s">
        <v>222</v>
      </c>
      <c r="C54" s="442" t="s">
        <v>223</v>
      </c>
      <c r="D54" s="65" t="s">
        <v>80</v>
      </c>
      <c r="E54" s="66">
        <v>4.2</v>
      </c>
      <c r="F54" s="66">
        <v>3.7</v>
      </c>
      <c r="G54" s="66">
        <v>3.7</v>
      </c>
      <c r="H54" s="66">
        <v>3.3</v>
      </c>
      <c r="I54" s="66">
        <v>3.3</v>
      </c>
      <c r="J54" s="229">
        <v>3</v>
      </c>
      <c r="K54" s="229">
        <v>3</v>
      </c>
      <c r="L54" s="229">
        <v>2.7</v>
      </c>
      <c r="M54" s="229">
        <v>2.7</v>
      </c>
      <c r="N54" s="229">
        <v>2.5</v>
      </c>
      <c r="O54" s="67"/>
      <c r="P54" s="66">
        <v>4.2</v>
      </c>
      <c r="Q54" s="66">
        <v>3.7</v>
      </c>
      <c r="R54" s="66">
        <v>3.7</v>
      </c>
      <c r="S54" s="66">
        <v>3.3</v>
      </c>
      <c r="T54" s="66">
        <v>3.3</v>
      </c>
      <c r="U54" s="229">
        <v>3</v>
      </c>
      <c r="V54" s="229">
        <v>3</v>
      </c>
      <c r="W54" s="229">
        <v>2.7</v>
      </c>
      <c r="X54" s="229">
        <v>2.7</v>
      </c>
      <c r="Y54" s="229">
        <v>2.5</v>
      </c>
      <c r="Z54" s="67"/>
      <c r="AA54" s="66">
        <f>8000*(2/AA5)</f>
        <v>3.3333333333333335</v>
      </c>
      <c r="AB54" s="66">
        <v>3.7</v>
      </c>
      <c r="AC54" s="66">
        <v>3.7</v>
      </c>
      <c r="AD54" s="66">
        <v>3.3</v>
      </c>
      <c r="AE54" s="66">
        <v>3.3</v>
      </c>
      <c r="AF54" s="229">
        <v>3</v>
      </c>
      <c r="AG54" s="229">
        <v>3</v>
      </c>
      <c r="AH54" s="229">
        <v>2.7</v>
      </c>
      <c r="AI54" s="229">
        <v>2.7</v>
      </c>
      <c r="AJ54" s="229">
        <v>2.5</v>
      </c>
      <c r="AK54" s="35" t="s">
        <v>27</v>
      </c>
      <c r="AM54"/>
      <c r="AN54"/>
      <c r="AO54"/>
      <c r="AP54"/>
      <c r="AQ54"/>
      <c r="AR54"/>
      <c r="AS54"/>
      <c r="AT54"/>
      <c r="AU54"/>
      <c r="AV54"/>
      <c r="AW54"/>
      <c r="AX54"/>
      <c r="AY54"/>
      <c r="AZ54"/>
      <c r="BA54"/>
      <c r="BB54"/>
      <c r="BC54"/>
      <c r="BD54"/>
      <c r="BE54"/>
      <c r="BF54"/>
      <c r="BG54"/>
      <c r="BH54"/>
      <c r="BI54"/>
      <c r="BP54"/>
      <c r="BQ54"/>
      <c r="BR54"/>
      <c r="BS54"/>
      <c r="BT54"/>
    </row>
    <row r="55" spans="1:72" ht="14.1" customHeight="1">
      <c r="B55" s="440"/>
      <c r="C55" s="443"/>
      <c r="D55" s="65" t="s">
        <v>81</v>
      </c>
      <c r="E55" s="66">
        <v>4.2</v>
      </c>
      <c r="F55" s="66">
        <v>3.7</v>
      </c>
      <c r="G55" s="66">
        <v>3.7</v>
      </c>
      <c r="H55" s="66">
        <v>3.3</v>
      </c>
      <c r="I55" s="66">
        <v>3.3</v>
      </c>
      <c r="J55" s="229">
        <v>3</v>
      </c>
      <c r="K55" s="229">
        <v>3</v>
      </c>
      <c r="L55" s="229">
        <v>2.7</v>
      </c>
      <c r="M55" s="229">
        <v>2.7</v>
      </c>
      <c r="N55" s="229">
        <v>2.5</v>
      </c>
      <c r="O55" s="67"/>
      <c r="P55" s="66">
        <v>4.2</v>
      </c>
      <c r="Q55" s="66">
        <v>3.7</v>
      </c>
      <c r="R55" s="66">
        <v>3.7</v>
      </c>
      <c r="S55" s="66">
        <v>3.3</v>
      </c>
      <c r="T55" s="66">
        <v>3.3</v>
      </c>
      <c r="U55" s="229">
        <v>3</v>
      </c>
      <c r="V55" s="229">
        <v>3</v>
      </c>
      <c r="W55" s="229">
        <v>2.7</v>
      </c>
      <c r="X55" s="229">
        <v>2.7</v>
      </c>
      <c r="Y55" s="229">
        <v>2.5</v>
      </c>
      <c r="Z55" s="67"/>
      <c r="AA55" s="66">
        <f>8000*(2/AA5)</f>
        <v>3.3333333333333335</v>
      </c>
      <c r="AB55" s="66">
        <v>3.7</v>
      </c>
      <c r="AC55" s="66">
        <v>3.7</v>
      </c>
      <c r="AD55" s="66">
        <v>3.3</v>
      </c>
      <c r="AE55" s="66">
        <v>3.3</v>
      </c>
      <c r="AF55" s="229">
        <v>3</v>
      </c>
      <c r="AG55" s="229">
        <v>3</v>
      </c>
      <c r="AH55" s="229">
        <v>2.7</v>
      </c>
      <c r="AI55" s="229">
        <v>2.7</v>
      </c>
      <c r="AJ55" s="229">
        <v>2.5</v>
      </c>
      <c r="AK55" s="35" t="s">
        <v>27</v>
      </c>
      <c r="AM55"/>
      <c r="AN55"/>
      <c r="AO55"/>
      <c r="AP55"/>
      <c r="AQ55"/>
      <c r="AR55"/>
      <c r="AS55"/>
      <c r="AT55"/>
      <c r="AU55"/>
      <c r="AV55"/>
      <c r="AW55"/>
      <c r="AX55"/>
      <c r="AY55"/>
      <c r="AZ55"/>
      <c r="BA55"/>
      <c r="BB55"/>
      <c r="BC55"/>
      <c r="BD55"/>
      <c r="BE55"/>
      <c r="BF55"/>
      <c r="BG55"/>
      <c r="BH55"/>
      <c r="BI55"/>
      <c r="BP55"/>
      <c r="BQ55"/>
      <c r="BR55"/>
      <c r="BS55"/>
      <c r="BT55"/>
    </row>
    <row r="56" spans="1:72" ht="14.1" customHeight="1">
      <c r="B56" s="441"/>
      <c r="C56" s="444"/>
      <c r="D56" s="65" t="s">
        <v>79</v>
      </c>
      <c r="E56" s="66">
        <v>5.3</v>
      </c>
      <c r="F56" s="66">
        <v>5.3</v>
      </c>
      <c r="G56" s="66">
        <v>5.3</v>
      </c>
      <c r="H56" s="66">
        <v>5.3</v>
      </c>
      <c r="I56" s="66">
        <v>5.3</v>
      </c>
      <c r="J56" s="229">
        <v>5.3</v>
      </c>
      <c r="K56" s="229">
        <v>5.3</v>
      </c>
      <c r="L56" s="229">
        <v>5.3</v>
      </c>
      <c r="M56" s="229">
        <v>5.3</v>
      </c>
      <c r="N56" s="229">
        <v>5.3</v>
      </c>
      <c r="O56" s="67"/>
      <c r="P56" s="66">
        <v>5.3</v>
      </c>
      <c r="Q56" s="66">
        <v>5.3</v>
      </c>
      <c r="R56" s="66">
        <v>5.3</v>
      </c>
      <c r="S56" s="66">
        <v>5.3</v>
      </c>
      <c r="T56" s="66">
        <v>5.3</v>
      </c>
      <c r="U56" s="229">
        <v>5.3</v>
      </c>
      <c r="V56" s="229">
        <v>5.3</v>
      </c>
      <c r="W56" s="229">
        <v>5.3</v>
      </c>
      <c r="X56" s="229">
        <v>5.3</v>
      </c>
      <c r="Y56" s="229">
        <v>5.3</v>
      </c>
      <c r="Z56" s="67"/>
      <c r="AA56" s="66">
        <f>8000*(2/AA5)</f>
        <v>3.3333333333333335</v>
      </c>
      <c r="AB56" s="66">
        <v>5.3</v>
      </c>
      <c r="AC56" s="66">
        <v>5.3</v>
      </c>
      <c r="AD56" s="66">
        <v>5.3</v>
      </c>
      <c r="AE56" s="66">
        <v>5.3</v>
      </c>
      <c r="AF56" s="229">
        <v>5.3</v>
      </c>
      <c r="AG56" s="229">
        <v>5.3</v>
      </c>
      <c r="AH56" s="229">
        <v>5.3</v>
      </c>
      <c r="AI56" s="229">
        <v>5.3</v>
      </c>
      <c r="AJ56" s="229">
        <v>5.3</v>
      </c>
      <c r="AK56" s="35" t="s">
        <v>27</v>
      </c>
      <c r="AM56"/>
      <c r="AN56"/>
      <c r="AO56"/>
      <c r="AP56"/>
      <c r="AQ56"/>
      <c r="AR56"/>
      <c r="AS56"/>
      <c r="AT56"/>
      <c r="AU56"/>
      <c r="AV56"/>
      <c r="AW56"/>
      <c r="AX56"/>
      <c r="AY56"/>
      <c r="AZ56"/>
      <c r="BA56"/>
      <c r="BB56"/>
      <c r="BC56"/>
      <c r="BD56"/>
      <c r="BE56"/>
      <c r="BF56"/>
      <c r="BG56"/>
      <c r="BH56"/>
      <c r="BI56"/>
      <c r="BP56"/>
      <c r="BQ56"/>
      <c r="BR56"/>
      <c r="BS56"/>
      <c r="BT56"/>
    </row>
    <row r="57" spans="1:72" ht="14.1" customHeight="1">
      <c r="B57" s="439" t="s">
        <v>224</v>
      </c>
      <c r="C57" s="442" t="s">
        <v>225</v>
      </c>
      <c r="D57" s="65" t="s">
        <v>80</v>
      </c>
      <c r="E57" s="66">
        <v>5.3</v>
      </c>
      <c r="F57" s="66">
        <v>5.3</v>
      </c>
      <c r="G57" s="66">
        <v>5.3</v>
      </c>
      <c r="H57" s="66">
        <v>4.9000000000000004</v>
      </c>
      <c r="I57" s="66">
        <v>4.9000000000000004</v>
      </c>
      <c r="J57" s="229">
        <v>4.9000000000000004</v>
      </c>
      <c r="K57" s="229">
        <v>4.9000000000000004</v>
      </c>
      <c r="L57" s="229">
        <v>4.9000000000000004</v>
      </c>
      <c r="M57" s="229">
        <v>4.9000000000000004</v>
      </c>
      <c r="N57" s="229">
        <v>4.9000000000000004</v>
      </c>
      <c r="O57" s="67"/>
      <c r="P57" s="66">
        <v>5.3</v>
      </c>
      <c r="Q57" s="66">
        <v>5.3</v>
      </c>
      <c r="R57" s="66">
        <v>5.3</v>
      </c>
      <c r="S57" s="66">
        <v>4.9000000000000004</v>
      </c>
      <c r="T57" s="66">
        <v>4.9000000000000004</v>
      </c>
      <c r="U57" s="229">
        <v>4.9000000000000004</v>
      </c>
      <c r="V57" s="229">
        <v>4.9000000000000004</v>
      </c>
      <c r="W57" s="229">
        <v>4.9000000000000004</v>
      </c>
      <c r="X57" s="229">
        <v>4.9000000000000004</v>
      </c>
      <c r="Y57" s="229">
        <v>4.9000000000000004</v>
      </c>
      <c r="Z57" s="67"/>
      <c r="AA57" s="66">
        <f>8000*(2/AA5)</f>
        <v>3.3333333333333335</v>
      </c>
      <c r="AB57" s="66">
        <v>5.3</v>
      </c>
      <c r="AC57" s="66">
        <v>5.3</v>
      </c>
      <c r="AD57" s="66">
        <v>4.9000000000000004</v>
      </c>
      <c r="AE57" s="66">
        <v>4.9000000000000004</v>
      </c>
      <c r="AF57" s="229">
        <v>4.9000000000000004</v>
      </c>
      <c r="AG57" s="229">
        <v>4.9000000000000004</v>
      </c>
      <c r="AH57" s="229">
        <v>4.9000000000000004</v>
      </c>
      <c r="AI57" s="229">
        <v>4.9000000000000004</v>
      </c>
      <c r="AJ57" s="229">
        <v>4.9000000000000004</v>
      </c>
      <c r="AK57" s="35" t="s">
        <v>27</v>
      </c>
      <c r="AM57"/>
      <c r="AN57"/>
      <c r="AO57"/>
      <c r="AP57"/>
      <c r="AQ57"/>
      <c r="AR57"/>
      <c r="AS57"/>
      <c r="AT57"/>
      <c r="AU57"/>
      <c r="AV57"/>
      <c r="AW57"/>
      <c r="AX57"/>
      <c r="AY57"/>
      <c r="AZ57"/>
      <c r="BA57"/>
      <c r="BB57"/>
      <c r="BC57"/>
      <c r="BD57"/>
      <c r="BE57"/>
      <c r="BF57"/>
      <c r="BG57"/>
      <c r="BH57"/>
      <c r="BI57"/>
      <c r="BP57"/>
      <c r="BQ57"/>
      <c r="BR57"/>
      <c r="BS57"/>
      <c r="BT57"/>
    </row>
    <row r="58" spans="1:72" ht="14.1" customHeight="1">
      <c r="B58" s="440"/>
      <c r="C58" s="443"/>
      <c r="D58" s="65" t="s">
        <v>81</v>
      </c>
      <c r="E58" s="66">
        <v>5.3</v>
      </c>
      <c r="F58" s="66">
        <v>5.3</v>
      </c>
      <c r="G58" s="66">
        <v>5.3</v>
      </c>
      <c r="H58" s="66">
        <v>4.9000000000000004</v>
      </c>
      <c r="I58" s="66">
        <v>4.9000000000000004</v>
      </c>
      <c r="J58" s="229">
        <v>4.9000000000000004</v>
      </c>
      <c r="K58" s="229">
        <v>4.9000000000000004</v>
      </c>
      <c r="L58" s="229">
        <v>4.9000000000000004</v>
      </c>
      <c r="M58" s="229">
        <v>4.9000000000000004</v>
      </c>
      <c r="N58" s="229">
        <v>4.9000000000000004</v>
      </c>
      <c r="O58" s="67"/>
      <c r="P58" s="66">
        <v>5.3</v>
      </c>
      <c r="Q58" s="66">
        <v>5.3</v>
      </c>
      <c r="R58" s="66">
        <v>5.3</v>
      </c>
      <c r="S58" s="66">
        <v>4.9000000000000004</v>
      </c>
      <c r="T58" s="66">
        <v>4.9000000000000004</v>
      </c>
      <c r="U58" s="229">
        <v>4.9000000000000004</v>
      </c>
      <c r="V58" s="229">
        <v>4.9000000000000004</v>
      </c>
      <c r="W58" s="229">
        <v>4.9000000000000004</v>
      </c>
      <c r="X58" s="229">
        <v>4.9000000000000004</v>
      </c>
      <c r="Y58" s="229">
        <v>4.9000000000000004</v>
      </c>
      <c r="Z58" s="67"/>
      <c r="AA58" s="66">
        <f>8000*(2/AA5)</f>
        <v>3.3333333333333335</v>
      </c>
      <c r="AB58" s="66">
        <v>5.3</v>
      </c>
      <c r="AC58" s="66">
        <v>5.3</v>
      </c>
      <c r="AD58" s="66">
        <v>4.9000000000000004</v>
      </c>
      <c r="AE58" s="66">
        <v>4.9000000000000004</v>
      </c>
      <c r="AF58" s="229">
        <v>4.9000000000000004</v>
      </c>
      <c r="AG58" s="229">
        <v>4.9000000000000004</v>
      </c>
      <c r="AH58" s="229">
        <v>4.9000000000000004</v>
      </c>
      <c r="AI58" s="229">
        <v>4.9000000000000004</v>
      </c>
      <c r="AJ58" s="229">
        <v>4.9000000000000004</v>
      </c>
      <c r="AK58" s="35" t="s">
        <v>27</v>
      </c>
      <c r="AM58"/>
      <c r="AN58"/>
      <c r="AO58"/>
      <c r="AP58"/>
      <c r="AQ58"/>
      <c r="AR58"/>
      <c r="AS58"/>
      <c r="AT58"/>
      <c r="AU58"/>
      <c r="AV58"/>
      <c r="AW58"/>
      <c r="AX58"/>
      <c r="AY58"/>
      <c r="AZ58"/>
      <c r="BA58"/>
      <c r="BB58"/>
      <c r="BC58"/>
      <c r="BD58"/>
      <c r="BE58"/>
      <c r="BF58"/>
      <c r="BG58"/>
      <c r="BH58"/>
      <c r="BI58"/>
      <c r="BP58"/>
      <c r="BQ58"/>
      <c r="BR58"/>
      <c r="BS58"/>
      <c r="BT58"/>
    </row>
    <row r="59" spans="1:72" ht="14.1" customHeight="1">
      <c r="B59" s="441"/>
      <c r="C59" s="444"/>
      <c r="D59" s="65" t="s">
        <v>79</v>
      </c>
      <c r="E59" s="66">
        <v>6.4</v>
      </c>
      <c r="F59" s="66">
        <v>6.4</v>
      </c>
      <c r="G59" s="66">
        <v>6.4</v>
      </c>
      <c r="H59" s="66">
        <v>6.4</v>
      </c>
      <c r="I59" s="66">
        <v>6.4</v>
      </c>
      <c r="J59" s="229">
        <v>6.4</v>
      </c>
      <c r="K59" s="229">
        <v>6.4</v>
      </c>
      <c r="L59" s="229">
        <v>6.4</v>
      </c>
      <c r="M59" s="229">
        <v>6.4</v>
      </c>
      <c r="N59" s="229">
        <v>6.4</v>
      </c>
      <c r="O59" s="67"/>
      <c r="P59" s="66">
        <v>6.4</v>
      </c>
      <c r="Q59" s="66">
        <v>6.4</v>
      </c>
      <c r="R59" s="66">
        <v>6.4</v>
      </c>
      <c r="S59" s="66">
        <v>6.4</v>
      </c>
      <c r="T59" s="66">
        <v>6.4</v>
      </c>
      <c r="U59" s="229">
        <v>6.4</v>
      </c>
      <c r="V59" s="229">
        <v>6.4</v>
      </c>
      <c r="W59" s="229">
        <v>6.4</v>
      </c>
      <c r="X59" s="229">
        <v>6.4</v>
      </c>
      <c r="Y59" s="229">
        <v>6.4</v>
      </c>
      <c r="Z59" s="67"/>
      <c r="AA59" s="66">
        <f>8000*(2/AA5)</f>
        <v>3.3333333333333335</v>
      </c>
      <c r="AB59" s="66">
        <v>6.4</v>
      </c>
      <c r="AC59" s="66">
        <v>6.4</v>
      </c>
      <c r="AD59" s="66">
        <v>6.4</v>
      </c>
      <c r="AE59" s="66">
        <v>6.4</v>
      </c>
      <c r="AF59" s="229">
        <v>6.4</v>
      </c>
      <c r="AG59" s="229">
        <v>6.4</v>
      </c>
      <c r="AH59" s="229">
        <v>6.4</v>
      </c>
      <c r="AI59" s="229">
        <v>6.4</v>
      </c>
      <c r="AJ59" s="229">
        <v>6.4</v>
      </c>
      <c r="AK59" s="35" t="s">
        <v>27</v>
      </c>
      <c r="AM59"/>
      <c r="AN59"/>
      <c r="AO59"/>
      <c r="AP59"/>
      <c r="AQ59"/>
      <c r="AR59"/>
      <c r="AS59"/>
      <c r="AT59"/>
      <c r="AU59"/>
      <c r="AV59"/>
      <c r="AW59"/>
      <c r="AX59"/>
      <c r="AY59"/>
      <c r="AZ59"/>
      <c r="BA59"/>
      <c r="BB59"/>
      <c r="BC59"/>
      <c r="BD59"/>
      <c r="BE59"/>
      <c r="BF59"/>
      <c r="BG59"/>
      <c r="BH59"/>
      <c r="BI59"/>
      <c r="BP59"/>
      <c r="BQ59"/>
      <c r="BR59"/>
      <c r="BS59"/>
      <c r="BT59"/>
    </row>
    <row r="60" spans="1:72" ht="18" customHeight="1">
      <c r="B60" s="298" t="s">
        <v>144</v>
      </c>
      <c r="C60" s="437" t="s">
        <v>122</v>
      </c>
      <c r="D60" s="437"/>
      <c r="E60" s="66">
        <v>47.9</v>
      </c>
      <c r="F60" s="66">
        <v>48</v>
      </c>
      <c r="G60" s="66">
        <v>47.06</v>
      </c>
      <c r="H60" s="66">
        <v>46.16</v>
      </c>
      <c r="I60" s="66">
        <v>45.32</v>
      </c>
      <c r="J60" s="229">
        <v>46.16</v>
      </c>
      <c r="K60" s="229">
        <v>45.5</v>
      </c>
      <c r="L60" s="229">
        <v>46.32</v>
      </c>
      <c r="M60" s="229">
        <v>45.64</v>
      </c>
      <c r="N60" s="229">
        <v>45.75</v>
      </c>
      <c r="O60" s="64"/>
      <c r="P60" s="66">
        <v>47.9</v>
      </c>
      <c r="Q60" s="66">
        <v>48</v>
      </c>
      <c r="R60" s="66">
        <v>47.06</v>
      </c>
      <c r="S60" s="66">
        <v>46.16</v>
      </c>
      <c r="T60" s="66">
        <v>45.32</v>
      </c>
      <c r="U60" s="229">
        <v>46.25</v>
      </c>
      <c r="V60" s="229">
        <v>46.16</v>
      </c>
      <c r="W60" s="229">
        <v>46.32</v>
      </c>
      <c r="X60" s="229">
        <v>45.64</v>
      </c>
      <c r="Y60" s="229">
        <v>45.75</v>
      </c>
      <c r="Z60" s="67"/>
      <c r="AA60" s="66">
        <f>ROUND(AA64*92,2)</f>
        <v>38.24</v>
      </c>
      <c r="AB60" s="66">
        <v>48</v>
      </c>
      <c r="AC60" s="66">
        <v>47.06</v>
      </c>
      <c r="AD60" s="66">
        <v>46.16</v>
      </c>
      <c r="AE60" s="66">
        <v>45.32</v>
      </c>
      <c r="AF60" s="229">
        <v>46.16</v>
      </c>
      <c r="AG60" s="229">
        <v>45.5</v>
      </c>
      <c r="AH60" s="229">
        <v>46.32</v>
      </c>
      <c r="AI60" s="229">
        <v>45.64</v>
      </c>
      <c r="AJ60" s="229">
        <v>45.75</v>
      </c>
      <c r="AK60" s="35" t="s">
        <v>27</v>
      </c>
      <c r="AM60"/>
      <c r="AN60"/>
      <c r="AO60"/>
      <c r="AP60"/>
      <c r="AQ60"/>
      <c r="AR60"/>
      <c r="AS60"/>
      <c r="AT60"/>
      <c r="AU60"/>
      <c r="AV60"/>
      <c r="AW60"/>
      <c r="AX60"/>
      <c r="AY60"/>
      <c r="AZ60"/>
      <c r="BA60"/>
      <c r="BB60"/>
      <c r="BC60"/>
      <c r="BD60"/>
      <c r="BE60"/>
      <c r="BF60"/>
      <c r="BG60"/>
      <c r="BH60"/>
      <c r="BI60"/>
      <c r="BP60"/>
      <c r="BQ60"/>
      <c r="BR60"/>
      <c r="BS60"/>
      <c r="BT60"/>
    </row>
    <row r="61" spans="1:72" ht="18" customHeight="1">
      <c r="B61" s="298" t="s">
        <v>145</v>
      </c>
      <c r="C61" s="438" t="s">
        <v>146</v>
      </c>
      <c r="D61" s="437"/>
      <c r="E61" s="66">
        <v>34</v>
      </c>
      <c r="F61" s="66">
        <v>33</v>
      </c>
      <c r="G61" s="66">
        <v>33</v>
      </c>
      <c r="H61" s="66">
        <v>32</v>
      </c>
      <c r="I61" s="66">
        <v>32</v>
      </c>
      <c r="J61" s="229">
        <v>32</v>
      </c>
      <c r="K61" s="229">
        <v>32</v>
      </c>
      <c r="L61" s="229">
        <v>32</v>
      </c>
      <c r="M61" s="229">
        <v>32</v>
      </c>
      <c r="N61" s="229">
        <v>32</v>
      </c>
      <c r="O61" s="67"/>
      <c r="P61" s="66">
        <v>34</v>
      </c>
      <c r="Q61" s="66">
        <v>33</v>
      </c>
      <c r="R61" s="66">
        <v>33</v>
      </c>
      <c r="S61" s="66">
        <v>32</v>
      </c>
      <c r="T61" s="66">
        <v>32</v>
      </c>
      <c r="U61" s="229">
        <v>32</v>
      </c>
      <c r="V61" s="229">
        <v>32</v>
      </c>
      <c r="W61" s="229">
        <v>32</v>
      </c>
      <c r="X61" s="229">
        <v>32</v>
      </c>
      <c r="Y61" s="229">
        <v>32</v>
      </c>
      <c r="Z61" s="67"/>
      <c r="AA61" s="66">
        <f>ROUND(AA64*52,2)</f>
        <v>21.61</v>
      </c>
      <c r="AB61" s="66">
        <v>33</v>
      </c>
      <c r="AC61" s="66">
        <v>33</v>
      </c>
      <c r="AD61" s="66">
        <v>32</v>
      </c>
      <c r="AE61" s="66">
        <v>32</v>
      </c>
      <c r="AF61" s="229">
        <v>32</v>
      </c>
      <c r="AG61" s="229">
        <v>32</v>
      </c>
      <c r="AH61" s="229">
        <v>32</v>
      </c>
      <c r="AI61" s="229">
        <v>32</v>
      </c>
      <c r="AJ61" s="229">
        <v>32</v>
      </c>
      <c r="AK61" s="35" t="s">
        <v>27</v>
      </c>
      <c r="AM61"/>
      <c r="AN61"/>
      <c r="AO61"/>
      <c r="AP61"/>
      <c r="AQ61"/>
      <c r="AR61"/>
      <c r="AS61"/>
      <c r="AT61"/>
      <c r="AU61"/>
      <c r="AV61"/>
      <c r="AW61"/>
      <c r="AX61"/>
      <c r="AY61"/>
      <c r="AZ61"/>
      <c r="BA61"/>
      <c r="BB61"/>
      <c r="BC61"/>
      <c r="BD61"/>
      <c r="BE61"/>
      <c r="BF61"/>
      <c r="BG61"/>
      <c r="BH61"/>
      <c r="BI61"/>
      <c r="BP61"/>
      <c r="BQ61"/>
      <c r="BR61"/>
      <c r="BS61"/>
      <c r="BT61"/>
    </row>
    <row r="62" spans="1:72" ht="18" customHeight="1">
      <c r="B62" s="298" t="s">
        <v>147</v>
      </c>
      <c r="C62" s="437" t="s">
        <v>123</v>
      </c>
      <c r="D62" s="437"/>
      <c r="E62" s="66">
        <v>260</v>
      </c>
      <c r="F62" s="66">
        <v>260</v>
      </c>
      <c r="G62" s="66">
        <v>260</v>
      </c>
      <c r="H62" s="66">
        <v>260</v>
      </c>
      <c r="I62" s="66">
        <v>260</v>
      </c>
      <c r="J62" s="229">
        <v>260</v>
      </c>
      <c r="K62" s="229">
        <v>260</v>
      </c>
      <c r="L62" s="229">
        <v>260</v>
      </c>
      <c r="M62" s="229">
        <v>260</v>
      </c>
      <c r="N62" s="229">
        <v>260</v>
      </c>
      <c r="O62" s="64"/>
      <c r="P62" s="66">
        <v>350</v>
      </c>
      <c r="Q62" s="66">
        <v>350</v>
      </c>
      <c r="R62" s="66">
        <v>350</v>
      </c>
      <c r="S62" s="66">
        <v>350</v>
      </c>
      <c r="T62" s="66">
        <v>350</v>
      </c>
      <c r="U62" s="66">
        <v>350</v>
      </c>
      <c r="V62" s="66">
        <v>350</v>
      </c>
      <c r="W62" s="66">
        <v>350</v>
      </c>
      <c r="X62" s="66">
        <v>350</v>
      </c>
      <c r="Y62" s="66">
        <v>350</v>
      </c>
      <c r="Z62" s="64"/>
      <c r="AA62" s="66">
        <f>ROUND(AA64*410,2)</f>
        <v>170.42</v>
      </c>
      <c r="AB62" s="66">
        <v>350</v>
      </c>
      <c r="AC62" s="66">
        <v>350</v>
      </c>
      <c r="AD62" s="66">
        <v>350</v>
      </c>
      <c r="AE62" s="66">
        <v>350</v>
      </c>
      <c r="AF62" s="66">
        <v>350</v>
      </c>
      <c r="AG62" s="66">
        <v>350</v>
      </c>
      <c r="AH62" s="66">
        <v>350</v>
      </c>
      <c r="AI62" s="66">
        <v>350</v>
      </c>
      <c r="AJ62" s="66">
        <v>350</v>
      </c>
      <c r="AK62" s="35" t="s">
        <v>27</v>
      </c>
      <c r="AM62"/>
      <c r="AN62"/>
      <c r="AO62"/>
      <c r="AP62"/>
      <c r="AQ62"/>
      <c r="AR62"/>
      <c r="AS62"/>
      <c r="AT62"/>
      <c r="AU62"/>
      <c r="AV62"/>
      <c r="AW62"/>
      <c r="AX62"/>
      <c r="AY62"/>
      <c r="AZ62"/>
      <c r="BA62"/>
      <c r="BB62"/>
      <c r="BC62"/>
      <c r="BD62"/>
      <c r="BE62"/>
      <c r="BF62"/>
      <c r="BG62"/>
      <c r="BH62"/>
      <c r="BI62"/>
      <c r="BP62"/>
      <c r="BQ62"/>
      <c r="BR62"/>
      <c r="BS62"/>
      <c r="BT62"/>
    </row>
    <row r="63" spans="1:72" ht="18" customHeight="1">
      <c r="B63" s="298" t="s">
        <v>148</v>
      </c>
      <c r="C63" s="437" t="s">
        <v>74</v>
      </c>
      <c r="D63" s="437"/>
      <c r="E63" s="66">
        <v>7.8</v>
      </c>
      <c r="F63" s="66">
        <v>7.8</v>
      </c>
      <c r="G63" s="66">
        <v>7.8</v>
      </c>
      <c r="H63" s="66">
        <v>7.8</v>
      </c>
      <c r="I63" s="66">
        <v>7.8</v>
      </c>
      <c r="J63" s="229">
        <v>7.8</v>
      </c>
      <c r="K63" s="229">
        <v>7.8</v>
      </c>
      <c r="L63" s="229">
        <v>7.8</v>
      </c>
      <c r="M63" s="229">
        <v>7.8</v>
      </c>
      <c r="N63" s="229">
        <v>7.8</v>
      </c>
      <c r="O63" s="64"/>
      <c r="P63" s="66">
        <v>7.8</v>
      </c>
      <c r="Q63" s="66">
        <v>7.8</v>
      </c>
      <c r="R63" s="66">
        <v>7.8</v>
      </c>
      <c r="S63" s="66">
        <v>7.8</v>
      </c>
      <c r="T63" s="66">
        <v>7.8</v>
      </c>
      <c r="U63" s="229">
        <v>7.8</v>
      </c>
      <c r="V63" s="229">
        <v>7.8</v>
      </c>
      <c r="W63" s="229">
        <v>7.8</v>
      </c>
      <c r="X63" s="229">
        <v>7.8</v>
      </c>
      <c r="Y63" s="229">
        <v>7.8</v>
      </c>
      <c r="Z63" s="64"/>
      <c r="AA63" s="66">
        <f>ROUND(AA64*30,2)</f>
        <v>12.47</v>
      </c>
      <c r="AB63" s="229">
        <v>7.8</v>
      </c>
      <c r="AC63" s="229">
        <v>7.8</v>
      </c>
      <c r="AD63" s="229">
        <v>7.8</v>
      </c>
      <c r="AE63" s="229">
        <v>7.8</v>
      </c>
      <c r="AF63" s="229">
        <v>7.8</v>
      </c>
      <c r="AG63" s="229">
        <v>7.8</v>
      </c>
      <c r="AH63" s="229">
        <v>7.8</v>
      </c>
      <c r="AI63" s="229">
        <v>7.8</v>
      </c>
      <c r="AJ63" s="229">
        <v>7.8</v>
      </c>
      <c r="AK63" s="35" t="s">
        <v>154</v>
      </c>
      <c r="AM63"/>
      <c r="AN63"/>
      <c r="AO63"/>
      <c r="AP63"/>
      <c r="AQ63"/>
      <c r="AR63"/>
      <c r="AS63"/>
      <c r="AT63"/>
      <c r="AU63"/>
      <c r="AV63"/>
      <c r="AW63"/>
      <c r="AX63"/>
      <c r="AY63"/>
      <c r="AZ63"/>
      <c r="BA63"/>
      <c r="BB63"/>
      <c r="BC63"/>
      <c r="BD63"/>
      <c r="BE63"/>
      <c r="BF63"/>
      <c r="BG63"/>
      <c r="BH63"/>
      <c r="BI63"/>
      <c r="BP63"/>
      <c r="BQ63"/>
      <c r="BR63"/>
      <c r="BS63"/>
      <c r="BT63"/>
    </row>
    <row r="64" spans="1:72" ht="18" customHeight="1">
      <c r="B64" s="298" t="s">
        <v>163</v>
      </c>
      <c r="C64" s="437" t="s">
        <v>150</v>
      </c>
      <c r="D64" s="437"/>
      <c r="E64" s="184">
        <f t="shared" ref="E64:N64" si="2">E53</f>
        <v>1.0708113612004289</v>
      </c>
      <c r="F64" s="184">
        <f t="shared" si="2"/>
        <v>0.93664650726676046</v>
      </c>
      <c r="G64" s="184">
        <f t="shared" si="2"/>
        <v>0.93664650726676046</v>
      </c>
      <c r="H64" s="184">
        <f t="shared" si="2"/>
        <v>0.83333333333333337</v>
      </c>
      <c r="I64" s="184">
        <f t="shared" si="2"/>
        <v>0.83333333333333337</v>
      </c>
      <c r="J64" s="184">
        <f t="shared" si="2"/>
        <v>0.75018754688672173</v>
      </c>
      <c r="K64" s="184">
        <f t="shared" si="2"/>
        <v>0.75018754688672173</v>
      </c>
      <c r="L64" s="184">
        <f t="shared" si="2"/>
        <v>0.68189566996249573</v>
      </c>
      <c r="M64" s="184">
        <f t="shared" si="2"/>
        <v>0.68189566996249573</v>
      </c>
      <c r="N64" s="184">
        <f t="shared" si="2"/>
        <v>0.625</v>
      </c>
      <c r="O64" s="64"/>
      <c r="P64" s="184">
        <f>P53</f>
        <v>1.0708113612004289</v>
      </c>
      <c r="Q64" s="184">
        <f>Q53</f>
        <v>0.93664650726676046</v>
      </c>
      <c r="R64" s="184">
        <f>R53</f>
        <v>0.93664650726676046</v>
      </c>
      <c r="S64" s="184">
        <f>S53</f>
        <v>0.83333333333333337</v>
      </c>
      <c r="T64" s="184">
        <f>T53</f>
        <v>0.83333333333333337</v>
      </c>
      <c r="U64" s="184">
        <v>0.75018754688672173</v>
      </c>
      <c r="V64" s="184">
        <v>0.75018754688672173</v>
      </c>
      <c r="W64" s="184">
        <f>W53</f>
        <v>0.68189566996249573</v>
      </c>
      <c r="X64" s="184">
        <f>X53</f>
        <v>0.68189566996249573</v>
      </c>
      <c r="Y64" s="184">
        <f>Y53</f>
        <v>0.625</v>
      </c>
      <c r="Z64" s="64"/>
      <c r="AA64" s="184">
        <f t="shared" ref="AA64:AJ64" si="3">AA53</f>
        <v>0.41566666666666668</v>
      </c>
      <c r="AB64" s="184">
        <f t="shared" si="3"/>
        <v>0.93664650726676046</v>
      </c>
      <c r="AC64" s="184">
        <f t="shared" si="3"/>
        <v>0.93664650726676046</v>
      </c>
      <c r="AD64" s="184">
        <f t="shared" si="3"/>
        <v>0.83333333333333337</v>
      </c>
      <c r="AE64" s="184">
        <f t="shared" si="3"/>
        <v>0.83333333333333337</v>
      </c>
      <c r="AF64" s="184">
        <f t="shared" si="3"/>
        <v>0.75018754688672173</v>
      </c>
      <c r="AG64" s="184">
        <f t="shared" si="3"/>
        <v>0.75018754688672173</v>
      </c>
      <c r="AH64" s="184">
        <f t="shared" si="3"/>
        <v>0.68189566996249573</v>
      </c>
      <c r="AI64" s="184">
        <f t="shared" si="3"/>
        <v>0.68189566996249573</v>
      </c>
      <c r="AJ64" s="184">
        <f t="shared" si="3"/>
        <v>0.625</v>
      </c>
      <c r="AK64" s="35" t="s">
        <v>27</v>
      </c>
      <c r="AM64"/>
      <c r="AN64"/>
      <c r="AO64"/>
      <c r="AP64"/>
      <c r="AQ64"/>
      <c r="AR64"/>
      <c r="AS64"/>
      <c r="AT64"/>
      <c r="AU64"/>
      <c r="AV64"/>
      <c r="AW64"/>
      <c r="AX64"/>
      <c r="AY64"/>
      <c r="AZ64"/>
      <c r="BA64"/>
      <c r="BB64"/>
      <c r="BC64"/>
      <c r="BD64"/>
      <c r="BE64"/>
      <c r="BF64"/>
      <c r="BG64"/>
      <c r="BH64"/>
      <c r="BI64"/>
      <c r="BP64"/>
      <c r="BQ64"/>
      <c r="BR64"/>
      <c r="BS64"/>
      <c r="BT64"/>
    </row>
    <row r="65" spans="2:72" ht="18.75" customHeight="1">
      <c r="B65" s="298" t="s">
        <v>151</v>
      </c>
      <c r="C65" s="437" t="s">
        <v>152</v>
      </c>
      <c r="D65" s="437"/>
      <c r="E65" s="66">
        <v>1.9</v>
      </c>
      <c r="F65" s="66">
        <v>1.9</v>
      </c>
      <c r="G65" s="66">
        <v>1.9</v>
      </c>
      <c r="H65" s="66">
        <v>1.9</v>
      </c>
      <c r="I65" s="66">
        <v>1.9</v>
      </c>
      <c r="J65" s="66">
        <v>1.9</v>
      </c>
      <c r="K65" s="66">
        <v>1.9</v>
      </c>
      <c r="L65" s="66">
        <v>1.9</v>
      </c>
      <c r="M65" s="66">
        <v>1.9</v>
      </c>
      <c r="N65" s="66">
        <v>1.9</v>
      </c>
      <c r="O65" s="64"/>
      <c r="P65" s="66">
        <v>1.9</v>
      </c>
      <c r="Q65" s="66">
        <v>1.9</v>
      </c>
      <c r="R65" s="66">
        <v>1.9</v>
      </c>
      <c r="S65" s="66">
        <v>1.9</v>
      </c>
      <c r="T65" s="66">
        <v>1.9</v>
      </c>
      <c r="U65" s="66">
        <v>1.9</v>
      </c>
      <c r="V65" s="66">
        <v>1.9</v>
      </c>
      <c r="W65" s="66">
        <v>1.9</v>
      </c>
      <c r="X65" s="66">
        <v>1.9</v>
      </c>
      <c r="Y65" s="66">
        <v>1.9</v>
      </c>
      <c r="Z65" s="64"/>
      <c r="AA65" s="66">
        <v>1.9</v>
      </c>
      <c r="AB65" s="66">
        <v>1.9</v>
      </c>
      <c r="AC65" s="66">
        <v>1.9</v>
      </c>
      <c r="AD65" s="66">
        <v>1.9</v>
      </c>
      <c r="AE65" s="66">
        <v>1.9</v>
      </c>
      <c r="AF65" s="66">
        <v>1.9</v>
      </c>
      <c r="AG65" s="66">
        <v>1.9</v>
      </c>
      <c r="AH65" s="66">
        <v>1.9</v>
      </c>
      <c r="AI65" s="66">
        <v>1.9</v>
      </c>
      <c r="AJ65" s="66">
        <v>1.9</v>
      </c>
      <c r="AK65" s="35" t="s">
        <v>27</v>
      </c>
      <c r="AM65"/>
      <c r="AN65"/>
      <c r="AO65"/>
      <c r="AP65"/>
      <c r="AQ65"/>
      <c r="AR65"/>
      <c r="AS65"/>
      <c r="AT65"/>
      <c r="AU65"/>
      <c r="AV65"/>
      <c r="AW65"/>
      <c r="AX65"/>
      <c r="AY65"/>
      <c r="AZ65"/>
      <c r="BA65"/>
      <c r="BB65"/>
      <c r="BC65"/>
      <c r="BD65"/>
      <c r="BE65"/>
      <c r="BF65"/>
      <c r="BG65"/>
      <c r="BH65"/>
      <c r="BI65"/>
      <c r="BP65"/>
      <c r="BQ65"/>
      <c r="BR65"/>
      <c r="BS65"/>
      <c r="BT65"/>
    </row>
    <row r="66" spans="2:72" ht="14.25" customHeight="1">
      <c r="B66" s="53"/>
      <c r="C66" s="54"/>
      <c r="D66" s="53"/>
      <c r="E66" s="53"/>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250" t="s">
        <v>175</v>
      </c>
      <c r="AM66"/>
      <c r="AN66"/>
      <c r="AO66"/>
      <c r="AP66"/>
      <c r="AQ66"/>
      <c r="AR66"/>
      <c r="AS66"/>
      <c r="AT66"/>
      <c r="AU66"/>
      <c r="AV66"/>
      <c r="AW66"/>
      <c r="AX66"/>
      <c r="AY66"/>
      <c r="AZ66"/>
      <c r="BA66"/>
      <c r="BB66"/>
      <c r="BC66"/>
      <c r="BD66"/>
      <c r="BE66"/>
      <c r="BF66"/>
      <c r="BG66"/>
      <c r="BH66"/>
      <c r="BI66"/>
      <c r="BP66"/>
      <c r="BQ66"/>
      <c r="BR66"/>
      <c r="BS66"/>
      <c r="BT66"/>
    </row>
    <row r="67" spans="2:72" ht="14.25" customHeight="1">
      <c r="B67" s="53"/>
      <c r="C67" s="54"/>
      <c r="D67" s="53"/>
      <c r="E67" s="53"/>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M67"/>
      <c r="AN67"/>
      <c r="AO67"/>
      <c r="AP67"/>
      <c r="AQ67"/>
      <c r="AR67"/>
      <c r="AS67"/>
      <c r="AT67"/>
      <c r="AU67"/>
      <c r="AV67"/>
      <c r="AW67"/>
      <c r="AX67"/>
      <c r="AY67"/>
      <c r="AZ67"/>
      <c r="BA67"/>
      <c r="BB67"/>
      <c r="BC67"/>
      <c r="BD67"/>
      <c r="BE67"/>
      <c r="BF67"/>
      <c r="BG67"/>
      <c r="BH67"/>
      <c r="BI67"/>
      <c r="BP67"/>
      <c r="BQ67"/>
      <c r="BR67"/>
      <c r="BS67"/>
      <c r="BT67"/>
    </row>
    <row r="68" spans="2:72" ht="36.75" customHeight="1">
      <c r="B68" s="461" t="s">
        <v>199</v>
      </c>
      <c r="C68" s="462"/>
      <c r="D68" s="462"/>
      <c r="E68" s="462"/>
      <c r="F68" s="462"/>
      <c r="G68" s="462"/>
      <c r="H68" s="462"/>
      <c r="I68" s="462"/>
      <c r="J68" s="462"/>
      <c r="K68" s="462"/>
      <c r="L68" s="462"/>
      <c r="M68" s="462"/>
      <c r="N68" s="462"/>
      <c r="O68" s="462"/>
      <c r="P68" s="462"/>
      <c r="Q68" s="462"/>
      <c r="R68" s="462"/>
      <c r="S68" s="462"/>
      <c r="T68" s="462"/>
      <c r="U68" s="462"/>
      <c r="V68" s="462"/>
      <c r="W68" s="462"/>
      <c r="X68" s="462"/>
      <c r="Y68" s="462"/>
      <c r="Z68" s="462"/>
      <c r="AA68" s="462"/>
      <c r="AB68" s="462"/>
      <c r="AC68" s="462"/>
      <c r="AD68" s="462"/>
      <c r="AE68" s="462"/>
      <c r="AF68" s="462"/>
      <c r="AG68" s="462"/>
      <c r="AH68" s="462"/>
      <c r="AI68" s="462"/>
      <c r="AJ68" s="462"/>
      <c r="AK68" s="462"/>
      <c r="AL68" s="463"/>
    </row>
    <row r="69" spans="2:72" ht="7.5" hidden="1" customHeight="1">
      <c r="B69" s="53"/>
      <c r="C69" s="54"/>
      <c r="D69" s="53"/>
      <c r="E69" s="51" t="str">
        <f>IF('DDR4 Config'!$O$1=1,'DDR4 Spec'!E6,IF('DDR4 Config'!$O$1=2,'DDR4 Spec'!P6,IF('DDR4 Config'!$O$1=3,'DDR4 Spec'!AA6,'DDR4 Spec'!#REF!)))</f>
        <v>-083</v>
      </c>
      <c r="F69" s="51" t="str">
        <f>IF('DDR4 Config'!$O$1=1,'DDR4 Spec'!F6,IF('DDR4 Config'!$O$1=2,'DDR4 Spec'!Q6,IF('DDR4 Config'!$O$1=3,'DDR4 Spec'!AB6,'DDR4 Spec'!#REF!)))</f>
        <v>-093</v>
      </c>
      <c r="G69" s="51" t="str">
        <f>IF('DDR4 Config'!$O$1=1,'DDR4 Spec'!G6,IF('DDR4 Config'!$O$1=2,'DDR4 Spec'!R6,IF('DDR4 Config'!$O$1=3,'DDR4 Spec'!AC6,'DDR4 Spec'!#REF!)))</f>
        <v>-093E</v>
      </c>
      <c r="H69" s="51" t="str">
        <f>IF('DDR4 Config'!$O$1=1,'DDR4 Spec'!H6,IF('DDR4 Config'!$O$1=2,'DDR4 Spec'!S6,IF('DDR4 Config'!$O$1=3,'DDR4 Spec'!AD6,'DDR4 Spec'!#REF!)))</f>
        <v>-083</v>
      </c>
      <c r="I69" s="51" t="str">
        <f>IF('DDR4 Config'!$O$1=1,'DDR4 Spec'!I6,IF('DDR4 Config'!$O$1=2,'DDR4 Spec'!T6,IF('DDR4 Config'!$O$1=3,'DDR4 Spec'!AE6,'DDR4 Spec'!#REF!)))</f>
        <v>-083E</v>
      </c>
      <c r="J69" s="51" t="str">
        <f>IF('DDR4 Config'!$O$1=1,'DDR4 Spec'!J6,IF('DDR4 Config'!$O$1=2,'DDR4 Spec'!U6,IF('DDR4 Config'!$O$1=3,'DDR4 Spec'!AF6,'DDR4 Spec'!#REF!)))</f>
        <v>-075</v>
      </c>
      <c r="K69" s="51" t="str">
        <f>IF('DDR4 Config'!$O$1=1,'DDR4 Spec'!K6,IF('DDR4 Config'!$O$1=2,'DDR4 Spec'!V6,IF('DDR4 Config'!$O$1=3,'DDR4 Spec'!AG6,'DDR4 Spec'!#REF!)))</f>
        <v>-075E</v>
      </c>
      <c r="L69" s="51" t="str">
        <f>IF('DDR4 Config'!$O$1=1,'DDR4 Spec'!L6,IF('DDR4 Config'!$O$1=2,'DDR4 Spec'!W6,IF('DDR4 Config'!$O$1=3,'DDR4 Spec'!AH6,'DDR4 Spec'!#REF!)))</f>
        <v>-068</v>
      </c>
      <c r="M69" s="51" t="str">
        <f>IF('DDR4 Config'!$O$1=1,'DDR4 Spec'!M6,IF('DDR4 Config'!$O$1=2,'DDR4 Spec'!X6,IF('DDR4 Config'!$O$1=3,'DDR4 Spec'!AI6,'DDR4 Spec'!#REF!)))</f>
        <v>-068E</v>
      </c>
      <c r="N69" s="51" t="str">
        <f>IF('DDR4 Config'!$O$1=1,'DDR4 Spec'!N6,IF('DDR4 Config'!$O$1=2,'DDR4 Spec'!Y6,IF('DDR4 Config'!$O$1=3,'DDR4 Spec'!AJ6,'DDR4 Spec'!#REF!)))</f>
        <v>-062E</v>
      </c>
      <c r="O69" s="256" t="str">
        <f>'DDR4 Config'!D9</f>
        <v>-083</v>
      </c>
      <c r="P69" s="51"/>
      <c r="Q69" s="51"/>
      <c r="R69" s="51"/>
      <c r="S69" s="51"/>
      <c r="T69" s="51"/>
      <c r="U69" s="51"/>
      <c r="V69" s="51"/>
      <c r="W69" s="51"/>
      <c r="X69" s="51"/>
      <c r="Y69" s="51"/>
      <c r="Z69" s="51"/>
      <c r="AA69" s="51"/>
      <c r="AB69" s="51"/>
      <c r="AC69" s="51"/>
      <c r="AD69" s="51"/>
      <c r="AE69" s="51"/>
      <c r="AF69" s="51"/>
      <c r="AG69" s="51"/>
      <c r="AH69" s="51"/>
      <c r="AI69" s="51"/>
      <c r="AJ69" s="51"/>
      <c r="AK69" s="51"/>
      <c r="AL69" s="32"/>
    </row>
    <row r="70" spans="2:72" ht="7.5" hidden="1" customHeight="1">
      <c r="B70" s="53"/>
      <c r="C70" s="54"/>
      <c r="D70" s="53"/>
      <c r="E70" s="51">
        <v>1</v>
      </c>
      <c r="F70" s="51">
        <v>2</v>
      </c>
      <c r="G70" s="51">
        <v>3</v>
      </c>
      <c r="H70" s="51">
        <v>4</v>
      </c>
      <c r="I70" s="51">
        <v>5</v>
      </c>
      <c r="J70" s="51">
        <v>6</v>
      </c>
      <c r="K70" s="51">
        <v>7</v>
      </c>
      <c r="L70" s="51">
        <v>8</v>
      </c>
      <c r="M70" s="51">
        <v>9</v>
      </c>
      <c r="N70" s="51">
        <v>10</v>
      </c>
      <c r="O70" s="256">
        <f>'DDR4 Config'!P1</f>
        <v>4</v>
      </c>
      <c r="P70" s="51"/>
      <c r="Q70" s="51"/>
      <c r="R70" s="51"/>
      <c r="S70" s="51"/>
      <c r="T70" s="51"/>
      <c r="U70" s="51"/>
      <c r="V70" s="51"/>
      <c r="W70" s="51"/>
      <c r="X70" s="51"/>
      <c r="Y70" s="51"/>
      <c r="Z70" s="51"/>
      <c r="AA70" s="51"/>
      <c r="AB70" s="51"/>
      <c r="AC70" s="51"/>
      <c r="AD70" s="51"/>
      <c r="AE70" s="51"/>
      <c r="AF70" s="51"/>
      <c r="AG70" s="51"/>
      <c r="AH70" s="51"/>
      <c r="AI70" s="51"/>
      <c r="AJ70" s="51"/>
      <c r="AK70" s="51"/>
      <c r="AL70" s="32"/>
    </row>
    <row r="71" spans="2:72" ht="7.5" hidden="1" customHeight="1">
      <c r="B71" s="53"/>
      <c r="C71" s="54"/>
      <c r="D71" s="53"/>
      <c r="E71" s="51">
        <f>IF('DDR4 Config'!$O$1=1,'DDR4 Spec'!E7,IF('DDR4 Config'!$O$1=2,'DDR4 Spec'!P7,IF('DDR4 Config'!$O$1=3,'DDR4 Spec'!AA7,'DDR4 Spec'!#REF!)))</f>
        <v>1.1000000000000001</v>
      </c>
      <c r="F71" s="51">
        <f>IF('DDR4 Config'!$O$1=1,'DDR4 Spec'!F7,IF('DDR4 Config'!$O$1=2,'DDR4 Spec'!Q7,IF('DDR4 Config'!$O$1=3,'DDR4 Spec'!AB7,'DDR4 Spec'!AK7)))</f>
        <v>1.26</v>
      </c>
      <c r="G71" s="51">
        <f>IF('DDR4 Config'!$O$1=1,'DDR4 Spec'!G7,IF('DDR4 Config'!$O$1=2,'DDR4 Spec'!R7,IF('DDR4 Config'!$O$1=3,'DDR4 Spec'!AC7,'DDR4 Spec'!#REF!)))</f>
        <v>1.26</v>
      </c>
      <c r="H71" s="51">
        <f>IF('DDR4 Config'!$O$1=1,'DDR4 Spec'!H7,IF('DDR4 Config'!$O$1=2,'DDR4 Spec'!S7,IF('DDR4 Config'!$O$1=3,'DDR4 Spec'!AD7,'DDR4 Spec'!#REF!)))</f>
        <v>1.26</v>
      </c>
      <c r="I71" s="51">
        <f>IF('DDR4 Config'!$O$1=1,'DDR4 Spec'!I7,IF('DDR4 Config'!$O$1=2,'DDR4 Spec'!T7,IF('DDR4 Config'!$O$1=3,'DDR4 Spec'!AE7,'DDR4 Spec'!#REF!)))</f>
        <v>1.26</v>
      </c>
      <c r="J71" s="51">
        <f>IF('DDR4 Config'!$O$1=1,'DDR4 Spec'!J7,IF('DDR4 Config'!$O$1=2,'DDR4 Spec'!U7,IF('DDR4 Config'!$O$1=3,'DDR4 Spec'!AF7,'DDR4 Spec'!#REF!)))</f>
        <v>1.26</v>
      </c>
      <c r="K71" s="51">
        <f>IF('DDR4 Config'!$O$1=1,'DDR4 Spec'!K7,IF('DDR4 Config'!$O$1=2,'DDR4 Spec'!V7,IF('DDR4 Config'!$O$1=3,'DDR4 Spec'!AG7,'DDR4 Spec'!#REF!)))</f>
        <v>1.26</v>
      </c>
      <c r="L71" s="51">
        <f>IF('DDR4 Config'!$O$1=1,'DDR4 Spec'!L7,IF('DDR4 Config'!$O$1=2,'DDR4 Spec'!W7,IF('DDR4 Config'!$O$1=3,'DDR4 Spec'!AH7,'DDR4 Spec'!#REF!)))</f>
        <v>1.26</v>
      </c>
      <c r="M71" s="51">
        <f>IF('DDR4 Config'!$O$1=1,'DDR4 Spec'!M7,IF('DDR4 Config'!$O$1=2,'DDR4 Spec'!X7,IF('DDR4 Config'!$O$1=3,'DDR4 Spec'!AI7,'DDR4 Spec'!#REF!)))</f>
        <v>1.26</v>
      </c>
      <c r="N71" s="51">
        <f>IF('DDR4 Config'!$O$1=1,'DDR4 Spec'!N7,IF('DDR4 Config'!$O$1=2,'DDR4 Spec'!Y7,IF('DDR4 Config'!$O$1=3,'DDR4 Spec'!AJ7,'DDR4 Spec'!#REF!)))</f>
        <v>1.26</v>
      </c>
      <c r="O71" s="256">
        <f>HLOOKUP($O$70,$E$70:$N$129,2)</f>
        <v>1.26</v>
      </c>
      <c r="P71" s="51"/>
      <c r="Q71" s="51"/>
      <c r="R71" s="51"/>
      <c r="S71" s="51"/>
      <c r="T71" s="51"/>
      <c r="U71" s="51"/>
      <c r="V71" s="51"/>
      <c r="W71" s="51"/>
      <c r="X71" s="51"/>
      <c r="Y71" s="51"/>
      <c r="Z71" s="51"/>
      <c r="AA71" s="51"/>
      <c r="AB71" s="51"/>
      <c r="AC71" s="51"/>
      <c r="AD71" s="51"/>
      <c r="AE71" s="51"/>
      <c r="AF71" s="51"/>
      <c r="AG71" s="51"/>
      <c r="AH71" s="51"/>
      <c r="AI71" s="51"/>
      <c r="AJ71" s="51"/>
      <c r="AK71" s="51"/>
      <c r="AL71" s="32"/>
    </row>
    <row r="72" spans="2:72" ht="7.5" hidden="1" customHeight="1">
      <c r="B72" s="53"/>
      <c r="C72" s="54"/>
      <c r="D72" s="53"/>
      <c r="E72" s="51">
        <f>IF('DDR4 Config'!$O$1=1,'DDR4 Spec'!E8,IF('DDR4 Config'!$O$1=2,'DDR4 Spec'!P8,IF('DDR4 Config'!$O$1=3,'DDR4 Spec'!AA8,'DDR4 Spec'!#REF!)))</f>
        <v>1.1000000000000001</v>
      </c>
      <c r="F72" s="51">
        <f>IF('DDR4 Config'!$O$1=1,'DDR4 Spec'!F8,IF('DDR4 Config'!$O$1=2,'DDR4 Spec'!Q8,IF('DDR4 Config'!$O$1=3,'DDR4 Spec'!AB8,'DDR4 Spec'!AK8)))</f>
        <v>1.1399999999999999</v>
      </c>
      <c r="G72" s="51">
        <f>IF('DDR4 Config'!$O$1=1,'DDR4 Spec'!G8,IF('DDR4 Config'!$O$1=2,'DDR4 Spec'!R8,IF('DDR4 Config'!$O$1=3,'DDR4 Spec'!AC8,'DDR4 Spec'!#REF!)))</f>
        <v>1.1399999999999999</v>
      </c>
      <c r="H72" s="51">
        <f>IF('DDR4 Config'!$O$1=1,'DDR4 Spec'!H8,IF('DDR4 Config'!$O$1=2,'DDR4 Spec'!S8,IF('DDR4 Config'!$O$1=3,'DDR4 Spec'!AD8,'DDR4 Spec'!#REF!)))</f>
        <v>1.1399999999999999</v>
      </c>
      <c r="I72" s="51">
        <f>IF('DDR4 Config'!$O$1=1,'DDR4 Spec'!I8,IF('DDR4 Config'!$O$1=2,'DDR4 Spec'!T8,IF('DDR4 Config'!$O$1=3,'DDR4 Spec'!AE8,'DDR4 Spec'!#REF!)))</f>
        <v>1.1399999999999999</v>
      </c>
      <c r="J72" s="51">
        <f>IF('DDR4 Config'!$O$1=1,'DDR4 Spec'!J8,IF('DDR4 Config'!$O$1=2,'DDR4 Spec'!U8,IF('DDR4 Config'!$O$1=3,'DDR4 Spec'!AF8,'DDR4 Spec'!#REF!)))</f>
        <v>1.1399999999999999</v>
      </c>
      <c r="K72" s="51">
        <f>IF('DDR4 Config'!$O$1=1,'DDR4 Spec'!K8,IF('DDR4 Config'!$O$1=2,'DDR4 Spec'!V8,IF('DDR4 Config'!$O$1=3,'DDR4 Spec'!AG8,'DDR4 Spec'!#REF!)))</f>
        <v>1.1399999999999999</v>
      </c>
      <c r="L72" s="51">
        <f>IF('DDR4 Config'!$O$1=1,'DDR4 Spec'!L8,IF('DDR4 Config'!$O$1=2,'DDR4 Spec'!W8,IF('DDR4 Config'!$O$1=3,'DDR4 Spec'!AH8,'DDR4 Spec'!#REF!)))</f>
        <v>1.1399999999999999</v>
      </c>
      <c r="M72" s="51">
        <f>IF('DDR4 Config'!$O$1=1,'DDR4 Spec'!M8,IF('DDR4 Config'!$O$1=2,'DDR4 Spec'!X8,IF('DDR4 Config'!$O$1=3,'DDR4 Spec'!AI8,'DDR4 Spec'!#REF!)))</f>
        <v>1.1399999999999999</v>
      </c>
      <c r="N72" s="51">
        <f>IF('DDR4 Config'!$O$1=1,'DDR4 Spec'!N8,IF('DDR4 Config'!$O$1=2,'DDR4 Spec'!Y8,IF('DDR4 Config'!$O$1=3,'DDR4 Spec'!AJ8,'DDR4 Spec'!#REF!)))</f>
        <v>1.1399999999999999</v>
      </c>
      <c r="O72" s="256">
        <f>HLOOKUP($O$70,$E$70:$N$129,3)</f>
        <v>1.1399999999999999</v>
      </c>
      <c r="P72" s="51"/>
      <c r="Q72" s="51"/>
      <c r="R72" s="51" t="s">
        <v>175</v>
      </c>
      <c r="S72" s="51"/>
      <c r="T72" s="51"/>
      <c r="U72" s="51"/>
      <c r="V72" s="51"/>
      <c r="W72" s="51"/>
      <c r="X72" s="51"/>
      <c r="Y72" s="51"/>
      <c r="Z72" s="51"/>
      <c r="AA72" s="51"/>
      <c r="AB72" s="51"/>
      <c r="AC72" s="51"/>
      <c r="AD72" s="51"/>
      <c r="AE72" s="51"/>
      <c r="AF72" s="51"/>
      <c r="AG72" s="51"/>
      <c r="AH72" s="51"/>
      <c r="AI72" s="51"/>
      <c r="AJ72" s="51"/>
      <c r="AK72" s="51"/>
      <c r="AL72" s="32"/>
    </row>
    <row r="73" spans="2:72" ht="7.5" hidden="1" customHeight="1">
      <c r="B73" s="53"/>
      <c r="C73" s="54"/>
      <c r="D73" s="53"/>
      <c r="E73" s="51">
        <f>IF('DDR4 Config'!$O$1=1,'DDR4 Spec'!E9,IF('DDR4 Config'!$O$1=2,'DDR4 Spec'!P9,IF('DDR4 Config'!$O$1=3,'DDR4 Spec'!AA9,'DDR4 Spec'!#REF!)))</f>
        <v>1.8</v>
      </c>
      <c r="F73" s="51">
        <f>IF('DDR4 Config'!$O$1=1,'DDR4 Spec'!F9,IF('DDR4 Config'!$O$1=2,'DDR4 Spec'!Q9,IF('DDR4 Config'!$O$1=3,'DDR4 Spec'!AB9,'DDR4 Spec'!AK9)))</f>
        <v>2.75</v>
      </c>
      <c r="G73" s="51">
        <f>IF('DDR4 Config'!$O$1=1,'DDR4 Spec'!G9,IF('DDR4 Config'!$O$1=2,'DDR4 Spec'!R9,IF('DDR4 Config'!$O$1=3,'DDR4 Spec'!AC9,'DDR4 Spec'!#REF!)))</f>
        <v>2.75</v>
      </c>
      <c r="H73" s="51">
        <f>IF('DDR4 Config'!$O$1=1,'DDR4 Spec'!H9,IF('DDR4 Config'!$O$1=2,'DDR4 Spec'!S9,IF('DDR4 Config'!$O$1=3,'DDR4 Spec'!AD9,'DDR4 Spec'!#REF!)))</f>
        <v>2.75</v>
      </c>
      <c r="I73" s="51">
        <f>IF('DDR4 Config'!$O$1=1,'DDR4 Spec'!I9,IF('DDR4 Config'!$O$1=2,'DDR4 Spec'!T9,IF('DDR4 Config'!$O$1=3,'DDR4 Spec'!AE9,'DDR4 Spec'!#REF!)))</f>
        <v>2.75</v>
      </c>
      <c r="J73" s="51">
        <f>IF('DDR4 Config'!$O$1=1,'DDR4 Spec'!J9,IF('DDR4 Config'!$O$1=2,'DDR4 Spec'!U9,IF('DDR4 Config'!$O$1=3,'DDR4 Spec'!AF9,'DDR4 Spec'!#REF!)))</f>
        <v>2.75</v>
      </c>
      <c r="K73" s="51">
        <f>IF('DDR4 Config'!$O$1=1,'DDR4 Spec'!K9,IF('DDR4 Config'!$O$1=2,'DDR4 Spec'!V9,IF('DDR4 Config'!$O$1=3,'DDR4 Spec'!AG9,'DDR4 Spec'!#REF!)))</f>
        <v>2.75</v>
      </c>
      <c r="L73" s="51">
        <f>IF('DDR4 Config'!$O$1=1,'DDR4 Spec'!L9,IF('DDR4 Config'!$O$1=2,'DDR4 Spec'!W9,IF('DDR4 Config'!$O$1=3,'DDR4 Spec'!AH9,'DDR4 Spec'!#REF!)))</f>
        <v>2.75</v>
      </c>
      <c r="M73" s="51">
        <f>IF('DDR4 Config'!$O$1=1,'DDR4 Spec'!M9,IF('DDR4 Config'!$O$1=2,'DDR4 Spec'!X9,IF('DDR4 Config'!$O$1=3,'DDR4 Spec'!AI9,'DDR4 Spec'!#REF!)))</f>
        <v>2.75</v>
      </c>
      <c r="N73" s="51">
        <f>IF('DDR4 Config'!$O$1=1,'DDR4 Spec'!N9,IF('DDR4 Config'!$O$1=2,'DDR4 Spec'!Y9,IF('DDR4 Config'!$O$1=3,'DDR4 Spec'!AJ9,'DDR4 Spec'!#REF!)))</f>
        <v>2.75</v>
      </c>
      <c r="O73" s="256">
        <f>HLOOKUP($O$70,$E$70:$N$129,4)</f>
        <v>2.75</v>
      </c>
      <c r="P73" s="51"/>
      <c r="Q73" s="51"/>
      <c r="R73" s="51"/>
      <c r="S73" s="51"/>
      <c r="T73" s="51"/>
      <c r="U73" s="51"/>
      <c r="V73" s="51"/>
      <c r="W73" s="51"/>
      <c r="X73" s="51"/>
      <c r="Y73" s="51"/>
      <c r="Z73" s="51"/>
      <c r="AA73" s="51"/>
      <c r="AB73" s="51"/>
      <c r="AC73" s="51"/>
      <c r="AD73" s="51"/>
      <c r="AE73" s="51"/>
      <c r="AF73" s="51"/>
      <c r="AG73" s="51"/>
      <c r="AH73" s="51"/>
      <c r="AI73" s="51"/>
      <c r="AJ73" s="51"/>
      <c r="AK73" s="51"/>
      <c r="AL73" s="32"/>
    </row>
    <row r="74" spans="2:72" ht="7.5" hidden="1" customHeight="1">
      <c r="B74" s="53"/>
      <c r="C74" s="54"/>
      <c r="D74" s="53"/>
      <c r="E74" s="51">
        <f>IF('DDR4 Config'!$O$1=1,'DDR4 Spec'!E10,IF('DDR4 Config'!$O$1=2,'DDR4 Spec'!P10,IF('DDR4 Config'!$O$1=3,'DDR4 Spec'!AA10,'DDR4 Spec'!#REF!)))</f>
        <v>1.8</v>
      </c>
      <c r="F74" s="51">
        <f>IF('DDR4 Config'!$O$1=1,'DDR4 Spec'!F10,IF('DDR4 Config'!$O$1=2,'DDR4 Spec'!Q10,IF('DDR4 Config'!$O$1=3,'DDR4 Spec'!AB10,'DDR4 Spec'!AK10)))</f>
        <v>2.375</v>
      </c>
      <c r="G74" s="51">
        <f>IF('DDR4 Config'!$O$1=1,'DDR4 Spec'!G10,IF('DDR4 Config'!$O$1=2,'DDR4 Spec'!R10,IF('DDR4 Config'!$O$1=3,'DDR4 Spec'!AC10,'DDR4 Spec'!#REF!)))</f>
        <v>2.375</v>
      </c>
      <c r="H74" s="51">
        <f>IF('DDR4 Config'!$O$1=1,'DDR4 Spec'!H10,IF('DDR4 Config'!$O$1=2,'DDR4 Spec'!S10,IF('DDR4 Config'!$O$1=3,'DDR4 Spec'!AD10,'DDR4 Spec'!#REF!)))</f>
        <v>2.375</v>
      </c>
      <c r="I74" s="51">
        <f>IF('DDR4 Config'!$O$1=1,'DDR4 Spec'!I10,IF('DDR4 Config'!$O$1=2,'DDR4 Spec'!T10,IF('DDR4 Config'!$O$1=3,'DDR4 Spec'!AE10,'DDR4 Spec'!#REF!)))</f>
        <v>2.375</v>
      </c>
      <c r="J74" s="51">
        <f>IF('DDR4 Config'!$O$1=1,'DDR4 Spec'!J10,IF('DDR4 Config'!$O$1=2,'DDR4 Spec'!U10,IF('DDR4 Config'!$O$1=3,'DDR4 Spec'!AF10,'DDR4 Spec'!#REF!)))</f>
        <v>2.375</v>
      </c>
      <c r="K74" s="51">
        <f>IF('DDR4 Config'!$O$1=1,'DDR4 Spec'!K10,IF('DDR4 Config'!$O$1=2,'DDR4 Spec'!V10,IF('DDR4 Config'!$O$1=3,'DDR4 Spec'!AG10,'DDR4 Spec'!#REF!)))</f>
        <v>2.375</v>
      </c>
      <c r="L74" s="51">
        <f>IF('DDR4 Config'!$O$1=1,'DDR4 Spec'!L10,IF('DDR4 Config'!$O$1=2,'DDR4 Spec'!W10,IF('DDR4 Config'!$O$1=3,'DDR4 Spec'!AH10,'DDR4 Spec'!#REF!)))</f>
        <v>2.375</v>
      </c>
      <c r="M74" s="51">
        <f>IF('DDR4 Config'!$O$1=1,'DDR4 Spec'!M10,IF('DDR4 Config'!$O$1=2,'DDR4 Spec'!X10,IF('DDR4 Config'!$O$1=3,'DDR4 Spec'!AI10,'DDR4 Spec'!#REF!)))</f>
        <v>2.375</v>
      </c>
      <c r="N74" s="51">
        <f>IF('DDR4 Config'!$O$1=1,'DDR4 Spec'!N10,IF('DDR4 Config'!$O$1=2,'DDR4 Spec'!Y10,IF('DDR4 Config'!$O$1=3,'DDR4 Spec'!AJ10,'DDR4 Spec'!#REF!)))</f>
        <v>2.375</v>
      </c>
      <c r="O74" s="256">
        <f>HLOOKUP($O$70,$E$70:$N$129,5)</f>
        <v>2.375</v>
      </c>
      <c r="P74" s="51"/>
      <c r="Q74" s="51"/>
      <c r="R74" s="51"/>
      <c r="S74" s="51"/>
      <c r="T74" s="51"/>
      <c r="U74" s="51"/>
      <c r="V74" s="51"/>
      <c r="W74" s="51"/>
      <c r="X74" s="51"/>
      <c r="Y74" s="51"/>
      <c r="Z74" s="51"/>
      <c r="AA74" s="51"/>
      <c r="AB74" s="51"/>
      <c r="AC74" s="51"/>
      <c r="AD74" s="51"/>
      <c r="AE74" s="51"/>
      <c r="AF74" s="51"/>
      <c r="AG74" s="51"/>
      <c r="AH74" s="51"/>
      <c r="AI74" s="51"/>
      <c r="AJ74" s="51"/>
      <c r="AK74" s="51"/>
      <c r="AL74" s="32"/>
    </row>
    <row r="75" spans="2:72" ht="7.5" hidden="1" customHeight="1">
      <c r="B75" s="53"/>
      <c r="C75" s="54"/>
      <c r="D75" s="53"/>
      <c r="E75" s="51"/>
      <c r="F75" s="51"/>
      <c r="G75" s="51"/>
      <c r="H75" s="51"/>
      <c r="I75" s="51"/>
      <c r="J75" s="51"/>
      <c r="K75" s="51"/>
      <c r="L75" s="51"/>
      <c r="M75" s="51"/>
      <c r="N75" s="51"/>
      <c r="O75" s="256"/>
      <c r="P75" s="51"/>
      <c r="Q75" s="51"/>
      <c r="R75" s="51"/>
      <c r="S75" s="51"/>
      <c r="T75" s="51"/>
      <c r="U75" s="51"/>
      <c r="V75" s="51"/>
      <c r="W75" s="51"/>
      <c r="X75" s="51"/>
      <c r="Y75" s="51"/>
      <c r="Z75" s="51"/>
      <c r="AA75" s="51"/>
      <c r="AB75" s="51"/>
      <c r="AC75" s="51"/>
      <c r="AD75" s="51"/>
      <c r="AE75" s="51"/>
      <c r="AF75" s="51"/>
      <c r="AG75" s="51"/>
      <c r="AH75" s="51"/>
      <c r="AI75" s="51"/>
      <c r="AJ75" s="51"/>
      <c r="AK75" s="51"/>
      <c r="AL75" s="32"/>
    </row>
    <row r="76" spans="2:72" ht="7.5" hidden="1" customHeight="1">
      <c r="B76" s="250" t="s">
        <v>175</v>
      </c>
      <c r="C76" s="54">
        <v>69</v>
      </c>
      <c r="D76" s="451" t="s">
        <v>157</v>
      </c>
      <c r="E76" s="51">
        <f>IF('DDR4 Config'!$O$1=1,'DDR4 Spec'!E13,IF('DDR4 Config'!$O$1=2,'DDR4 Spec'!P13,IF('DDR4 Config'!$O$1=3,'DDR4 Spec'!AA13,'DDR4 Spec'!#REF!)))</f>
        <v>103</v>
      </c>
      <c r="F76" s="51">
        <f>IF('DDR4 Config'!$O$1=1,'DDR4 Spec'!F13,IF('DDR4 Config'!$O$1=2,'DDR4 Spec'!Q13,IF('DDR4 Config'!$O$1=3,'DDR4 Spec'!AB13,'DDR4 Spec'!#REF!)))</f>
        <v>0</v>
      </c>
      <c r="G76" s="51">
        <f>IF('DDR4 Config'!$O$1=1,'DDR4 Spec'!G13,IF('DDR4 Config'!$O$1=2,'DDR4 Spec'!R13,IF('DDR4 Config'!$O$1=3,'DDR4 Spec'!AC13,'DDR4 Spec'!#REF!)))</f>
        <v>0</v>
      </c>
      <c r="H76" s="51">
        <f>IF('DDR4 Config'!$O$1=1,'DDR4 Spec'!H13,IF('DDR4 Config'!$O$1=2,'DDR4 Spec'!S13,IF('DDR4 Config'!$O$1=3,'DDR4 Spec'!AD13,'DDR4 Spec'!#REF!)))</f>
        <v>0</v>
      </c>
      <c r="I76" s="51">
        <f>IF('DDR4 Config'!$O$1=1,'DDR4 Spec'!I13,IF('DDR4 Config'!$O$1=2,'DDR4 Spec'!T13,IF('DDR4 Config'!$O$1=3,'DDR4 Spec'!AE13,'DDR4 Spec'!#REF!)))</f>
        <v>0</v>
      </c>
      <c r="J76" s="51">
        <f>IF('DDR4 Config'!$O$1=1,'DDR4 Spec'!J13,IF('DDR4 Config'!$O$1=2,'DDR4 Spec'!U13,IF('DDR4 Config'!$O$1=3,'DDR4 Spec'!AF13,'DDR4 Spec'!#REF!)))</f>
        <v>0</v>
      </c>
      <c r="K76" s="51">
        <f>IF('DDR4 Config'!$O$1=1,'DDR4 Spec'!K13,IF('DDR4 Config'!$O$1=2,'DDR4 Spec'!V13,IF('DDR4 Config'!$O$1=3,'DDR4 Spec'!AG13,'DDR4 Spec'!#REF!)))</f>
        <v>0</v>
      </c>
      <c r="L76" s="51">
        <f>IF('DDR4 Config'!$O$1=1,'DDR4 Spec'!L13,IF('DDR4 Config'!$O$1=2,'DDR4 Spec'!W13,IF('DDR4 Config'!$O$1=3,'DDR4 Spec'!AH13,'DDR4 Spec'!#REF!)))</f>
        <v>0</v>
      </c>
      <c r="M76" s="51">
        <f>IF('DDR4 Config'!$O$1=1,'DDR4 Spec'!M13,IF('DDR4 Config'!$O$1=2,'DDR4 Spec'!X13,IF('DDR4 Config'!$O$1=3,'DDR4 Spec'!AI13,'DDR4 Spec'!#REF!)))</f>
        <v>0</v>
      </c>
      <c r="N76" s="51">
        <f>IF('DDR4 Config'!$O$1=1,'DDR4 Spec'!N13,IF('DDR4 Config'!$O$1=2,'DDR4 Spec'!Y13,IF('DDR4 Config'!$O$1=3,'DDR4 Spec'!AJ13,'DDR4 Spec'!#REF!)))</f>
        <v>0</v>
      </c>
      <c r="O76" s="256">
        <f>HLOOKUP($O$70,$E$70:$N$129,7)</f>
        <v>0</v>
      </c>
      <c r="P76" s="51"/>
      <c r="Q76" s="51"/>
      <c r="R76" s="51"/>
      <c r="S76" s="51"/>
      <c r="T76" s="51"/>
      <c r="U76" s="51"/>
      <c r="V76" s="51"/>
      <c r="W76" s="51"/>
      <c r="X76" s="51"/>
      <c r="Y76" s="51"/>
      <c r="Z76" s="51"/>
      <c r="AA76" s="51"/>
      <c r="AB76" s="51"/>
      <c r="AC76" s="51"/>
      <c r="AD76" s="51"/>
      <c r="AE76" s="51"/>
      <c r="AF76" s="51"/>
      <c r="AG76" s="51"/>
      <c r="AH76" s="51"/>
      <c r="AI76" s="51"/>
      <c r="AJ76" s="51"/>
      <c r="AK76" s="51"/>
      <c r="AL76" s="32"/>
    </row>
    <row r="77" spans="2:72" ht="7.5" hidden="1" customHeight="1">
      <c r="B77" s="53"/>
      <c r="C77" s="54">
        <f>C76+1</f>
        <v>70</v>
      </c>
      <c r="D77" s="451"/>
      <c r="E77" s="51">
        <f>IF('DDR4 Config'!$O$1=1,'DDR4 Spec'!E14,IF('DDR4 Config'!$O$1=2,'DDR4 Spec'!P14,IF('DDR4 Config'!$O$1=3,'DDR4 Spec'!AA14,'DDR4 Spec'!#REF!)))</f>
        <v>103</v>
      </c>
      <c r="F77" s="51">
        <f>IF('DDR4 Config'!$O$1=1,'DDR4 Spec'!F14,IF('DDR4 Config'!$O$1=2,'DDR4 Spec'!Q14,IF('DDR4 Config'!$O$1=3,'DDR4 Spec'!AB14,'DDR4 Spec'!#REF!)))</f>
        <v>0</v>
      </c>
      <c r="G77" s="51">
        <f>IF('DDR4 Config'!$O$1=1,'DDR4 Spec'!G14,IF('DDR4 Config'!$O$1=2,'DDR4 Spec'!R14,IF('DDR4 Config'!$O$1=3,'DDR4 Spec'!AC14,'DDR4 Spec'!#REF!)))</f>
        <v>0</v>
      </c>
      <c r="H77" s="51">
        <f>IF('DDR4 Config'!$O$1=1,'DDR4 Spec'!H14,IF('DDR4 Config'!$O$1=2,'DDR4 Spec'!S14,IF('DDR4 Config'!$O$1=3,'DDR4 Spec'!AD14,'DDR4 Spec'!#REF!)))</f>
        <v>0</v>
      </c>
      <c r="I77" s="51">
        <f>IF('DDR4 Config'!$O$1=1,'DDR4 Spec'!I14,IF('DDR4 Config'!$O$1=2,'DDR4 Spec'!T14,IF('DDR4 Config'!$O$1=3,'DDR4 Spec'!AE14,'DDR4 Spec'!#REF!)))</f>
        <v>0</v>
      </c>
      <c r="J77" s="51">
        <f>IF('DDR4 Config'!$O$1=1,'DDR4 Spec'!J14,IF('DDR4 Config'!$O$1=2,'DDR4 Spec'!U14,IF('DDR4 Config'!$O$1=3,'DDR4 Spec'!AF14,'DDR4 Spec'!#REF!)))</f>
        <v>0</v>
      </c>
      <c r="K77" s="51">
        <f>IF('DDR4 Config'!$O$1=1,'DDR4 Spec'!K14,IF('DDR4 Config'!$O$1=2,'DDR4 Spec'!V14,IF('DDR4 Config'!$O$1=3,'DDR4 Spec'!AG14,'DDR4 Spec'!#REF!)))</f>
        <v>0</v>
      </c>
      <c r="L77" s="51">
        <f>IF('DDR4 Config'!$O$1=1,'DDR4 Spec'!L14,IF('DDR4 Config'!$O$1=2,'DDR4 Spec'!W14,IF('DDR4 Config'!$O$1=3,'DDR4 Spec'!AH14,'DDR4 Spec'!#REF!)))</f>
        <v>0</v>
      </c>
      <c r="M77" s="51">
        <f>IF('DDR4 Config'!$O$1=1,'DDR4 Spec'!M14,IF('DDR4 Config'!$O$1=2,'DDR4 Spec'!X14,IF('DDR4 Config'!$O$1=3,'DDR4 Spec'!AI14,'DDR4 Spec'!#REF!)))</f>
        <v>0</v>
      </c>
      <c r="N77" s="51">
        <f>IF('DDR4 Config'!$O$1=1,'DDR4 Spec'!N14,IF('DDR4 Config'!$O$1=2,'DDR4 Spec'!Y14,IF('DDR4 Config'!$O$1=3,'DDR4 Spec'!AJ14,'DDR4 Spec'!#REF!)))</f>
        <v>0</v>
      </c>
      <c r="O77" s="256">
        <f>HLOOKUP($O$70,$E$70:$N$129,8)</f>
        <v>0</v>
      </c>
      <c r="P77" s="51"/>
      <c r="Q77" s="51"/>
      <c r="R77" s="51"/>
      <c r="S77" s="51"/>
      <c r="T77" s="51"/>
      <c r="U77" s="51"/>
      <c r="V77" s="51"/>
      <c r="W77" s="51"/>
      <c r="X77" s="51"/>
      <c r="Y77" s="51"/>
      <c r="Z77" s="51"/>
      <c r="AA77" s="51"/>
      <c r="AB77" s="51"/>
      <c r="AC77" s="51"/>
      <c r="AD77" s="51"/>
      <c r="AE77" s="51"/>
      <c r="AF77" s="51"/>
      <c r="AG77" s="51"/>
      <c r="AH77" s="51"/>
      <c r="AI77" s="51"/>
      <c r="AJ77" s="51"/>
      <c r="AK77" s="51"/>
      <c r="AL77" s="32"/>
    </row>
    <row r="78" spans="2:72" ht="7.5" hidden="1" customHeight="1">
      <c r="B78" s="53"/>
      <c r="C78" s="54">
        <f t="shared" ref="C78:C114" si="4">C77+1</f>
        <v>71</v>
      </c>
      <c r="D78" s="451"/>
      <c r="E78" s="51">
        <f>IF('DDR4 Config'!$O$1=1,'DDR4 Spec'!E15,IF('DDR4 Config'!$O$1=2,'DDR4 Spec'!P15,IF('DDR4 Config'!$O$1=3,'DDR4 Spec'!AA15,'DDR4 Spec'!#REF!)))</f>
        <v>122</v>
      </c>
      <c r="F78" s="51">
        <f>IF('DDR4 Config'!$O$1=1,'DDR4 Spec'!F15,IF('DDR4 Config'!$O$1=2,'DDR4 Spec'!Q15,IF('DDR4 Config'!$O$1=3,'DDR4 Spec'!AB15,'DDR4 Spec'!#REF!)))</f>
        <v>0</v>
      </c>
      <c r="G78" s="51">
        <f>IF('DDR4 Config'!$O$1=1,'DDR4 Spec'!G15,IF('DDR4 Config'!$O$1=2,'DDR4 Spec'!R15,IF('DDR4 Config'!$O$1=3,'DDR4 Spec'!AC15,'DDR4 Spec'!#REF!)))</f>
        <v>0</v>
      </c>
      <c r="H78" s="51">
        <f>IF('DDR4 Config'!$O$1=1,'DDR4 Spec'!H15,IF('DDR4 Config'!$O$1=2,'DDR4 Spec'!S15,IF('DDR4 Config'!$O$1=3,'DDR4 Spec'!AD15,'DDR4 Spec'!#REF!)))</f>
        <v>0</v>
      </c>
      <c r="I78" s="51">
        <f>IF('DDR4 Config'!$O$1=1,'DDR4 Spec'!I15,IF('DDR4 Config'!$O$1=2,'DDR4 Spec'!T15,IF('DDR4 Config'!$O$1=3,'DDR4 Spec'!AE15,'DDR4 Spec'!#REF!)))</f>
        <v>0</v>
      </c>
      <c r="J78" s="51">
        <f>IF('DDR4 Config'!$O$1=1,'DDR4 Spec'!J15,IF('DDR4 Config'!$O$1=2,'DDR4 Spec'!U15,IF('DDR4 Config'!$O$1=3,'DDR4 Spec'!AF15,'DDR4 Spec'!#REF!)))</f>
        <v>0</v>
      </c>
      <c r="K78" s="51">
        <f>IF('DDR4 Config'!$O$1=1,'DDR4 Spec'!K15,IF('DDR4 Config'!$O$1=2,'DDR4 Spec'!V15,IF('DDR4 Config'!$O$1=3,'DDR4 Spec'!AG15,'DDR4 Spec'!#REF!)))</f>
        <v>0</v>
      </c>
      <c r="L78" s="51">
        <f>IF('DDR4 Config'!$O$1=1,'DDR4 Spec'!L15,IF('DDR4 Config'!$O$1=2,'DDR4 Spec'!W15,IF('DDR4 Config'!$O$1=3,'DDR4 Spec'!AH15,'DDR4 Spec'!#REF!)))</f>
        <v>0</v>
      </c>
      <c r="M78" s="51">
        <f>IF('DDR4 Config'!$O$1=1,'DDR4 Spec'!M15,IF('DDR4 Config'!$O$1=2,'DDR4 Spec'!X15,IF('DDR4 Config'!$O$1=3,'DDR4 Spec'!AI15,'DDR4 Spec'!#REF!)))</f>
        <v>0</v>
      </c>
      <c r="N78" s="51">
        <f>IF('DDR4 Config'!$O$1=1,'DDR4 Spec'!N15,IF('DDR4 Config'!$O$1=2,'DDR4 Spec'!Y15,IF('DDR4 Config'!$O$1=3,'DDR4 Spec'!AJ15,'DDR4 Spec'!#REF!)))</f>
        <v>0</v>
      </c>
      <c r="O78" s="256">
        <f>HLOOKUP($O$70,$E$70:$N$129,9)</f>
        <v>0</v>
      </c>
      <c r="P78" s="51"/>
      <c r="Q78" s="51"/>
      <c r="R78" s="51"/>
      <c r="S78" s="51"/>
      <c r="T78" s="51"/>
      <c r="U78" s="51"/>
      <c r="V78" s="51"/>
      <c r="W78" s="51"/>
      <c r="X78" s="51"/>
      <c r="Y78" s="51"/>
      <c r="Z78" s="51"/>
      <c r="AA78" s="51"/>
      <c r="AB78" s="51"/>
      <c r="AC78" s="51"/>
      <c r="AD78" s="51"/>
      <c r="AE78" s="51"/>
      <c r="AF78" s="51"/>
      <c r="AG78" s="51"/>
      <c r="AH78" s="51"/>
      <c r="AI78" s="51"/>
      <c r="AJ78" s="51"/>
      <c r="AK78" s="51"/>
      <c r="AL78" s="32"/>
    </row>
    <row r="79" spans="2:72" ht="7.5" hidden="1" customHeight="1">
      <c r="B79" s="53"/>
      <c r="C79" s="54">
        <f t="shared" si="4"/>
        <v>72</v>
      </c>
      <c r="D79" s="451" t="s">
        <v>220</v>
      </c>
      <c r="E79" s="51">
        <f>IF('DDR4 Config'!$O$1=1,'DDR4 Spec'!E16,IF('DDR4 Config'!$O$1=2,'DDR4 Spec'!P16,IF('DDR4 Config'!$O$1=3,'DDR4 Spec'!AA16,'DDR4 Spec'!#REF!)))</f>
        <v>8</v>
      </c>
      <c r="F79" s="51">
        <f>IF('DDR4 Config'!$O$1=1,'DDR4 Spec'!F16,IF('DDR4 Config'!$O$1=2,'DDR4 Spec'!Q16,IF('DDR4 Config'!$O$1=3,'DDR4 Spec'!AB16,'DDR4 Spec'!#REF!)))</f>
        <v>0</v>
      </c>
      <c r="G79" s="51">
        <f>IF('DDR4 Config'!$O$1=1,'DDR4 Spec'!G16,IF('DDR4 Config'!$O$1=2,'DDR4 Spec'!R16,IF('DDR4 Config'!$O$1=3,'DDR4 Spec'!AC16,'DDR4 Spec'!#REF!)))</f>
        <v>0</v>
      </c>
      <c r="H79" s="51">
        <f>IF('DDR4 Config'!$O$1=1,'DDR4 Spec'!H16,IF('DDR4 Config'!$O$1=2,'DDR4 Spec'!S16,IF('DDR4 Config'!$O$1=3,'DDR4 Spec'!AD16,'DDR4 Spec'!#REF!)))</f>
        <v>0</v>
      </c>
      <c r="I79" s="51">
        <f>IF('DDR4 Config'!$O$1=1,'DDR4 Spec'!I16,IF('DDR4 Config'!$O$1=2,'DDR4 Spec'!T16,IF('DDR4 Config'!$O$1=3,'DDR4 Spec'!AE16,'DDR4 Spec'!#REF!)))</f>
        <v>0</v>
      </c>
      <c r="J79" s="51">
        <f>IF('DDR4 Config'!$O$1=1,'DDR4 Spec'!J16,IF('DDR4 Config'!$O$1=2,'DDR4 Spec'!U16,IF('DDR4 Config'!$O$1=3,'DDR4 Spec'!AF16,'DDR4 Spec'!#REF!)))</f>
        <v>0</v>
      </c>
      <c r="K79" s="51">
        <f>IF('DDR4 Config'!$O$1=1,'DDR4 Spec'!K16,IF('DDR4 Config'!$O$1=2,'DDR4 Spec'!V16,IF('DDR4 Config'!$O$1=3,'DDR4 Spec'!AG16,'DDR4 Spec'!#REF!)))</f>
        <v>0</v>
      </c>
      <c r="L79" s="51">
        <f>IF('DDR4 Config'!$O$1=1,'DDR4 Spec'!L16,IF('DDR4 Config'!$O$1=2,'DDR4 Spec'!W16,IF('DDR4 Config'!$O$1=3,'DDR4 Spec'!AH16,'DDR4 Spec'!#REF!)))</f>
        <v>0</v>
      </c>
      <c r="M79" s="51">
        <f>IF('DDR4 Config'!$O$1=1,'DDR4 Spec'!M16,IF('DDR4 Config'!$O$1=2,'DDR4 Spec'!X16,IF('DDR4 Config'!$O$1=3,'DDR4 Spec'!AI16,'DDR4 Spec'!#REF!)))</f>
        <v>0</v>
      </c>
      <c r="N79" s="51">
        <f>IF('DDR4 Config'!$O$1=1,'DDR4 Spec'!N16,IF('DDR4 Config'!$O$1=2,'DDR4 Spec'!Y16,IF('DDR4 Config'!$O$1=3,'DDR4 Spec'!AJ16,'DDR4 Spec'!#REF!)))</f>
        <v>0</v>
      </c>
      <c r="O79" s="256">
        <f>HLOOKUP($O$70,$E$70:$N$129,10)</f>
        <v>0</v>
      </c>
      <c r="P79" s="51"/>
      <c r="Q79" s="51"/>
      <c r="R79" s="51"/>
      <c r="S79" s="51"/>
      <c r="T79" s="51"/>
      <c r="U79" s="51"/>
      <c r="V79" s="51"/>
      <c r="W79" s="51"/>
      <c r="X79" s="51"/>
      <c r="Y79" s="51"/>
      <c r="Z79" s="51"/>
      <c r="AA79" s="51"/>
      <c r="AB79" s="51"/>
      <c r="AC79" s="51"/>
      <c r="AD79" s="51"/>
      <c r="AE79" s="51"/>
      <c r="AF79" s="51"/>
      <c r="AG79" s="51"/>
      <c r="AH79" s="51"/>
      <c r="AI79" s="51"/>
      <c r="AJ79" s="51"/>
      <c r="AK79" s="51"/>
      <c r="AL79" s="32"/>
    </row>
    <row r="80" spans="2:72" ht="7.5" hidden="1" customHeight="1">
      <c r="B80" s="53"/>
      <c r="C80" s="54">
        <f t="shared" si="4"/>
        <v>73</v>
      </c>
      <c r="D80" s="451"/>
      <c r="E80" s="51">
        <f>IF('DDR4 Config'!$O$1=1,'DDR4 Spec'!E17,IF('DDR4 Config'!$O$1=2,'DDR4 Spec'!P17,IF('DDR4 Config'!$O$1=3,'DDR4 Spec'!AA17,'DDR4 Spec'!#REF!)))</f>
        <v>8</v>
      </c>
      <c r="F80" s="51">
        <f>IF('DDR4 Config'!$O$1=1,'DDR4 Spec'!F17,IF('DDR4 Config'!$O$1=2,'DDR4 Spec'!Q17,IF('DDR4 Config'!$O$1=3,'DDR4 Spec'!AB17,'DDR4 Spec'!#REF!)))</f>
        <v>0</v>
      </c>
      <c r="G80" s="51">
        <f>IF('DDR4 Config'!$O$1=1,'DDR4 Spec'!G17,IF('DDR4 Config'!$O$1=2,'DDR4 Spec'!R17,IF('DDR4 Config'!$O$1=3,'DDR4 Spec'!AC17,'DDR4 Spec'!#REF!)))</f>
        <v>0</v>
      </c>
      <c r="H80" s="51">
        <f>IF('DDR4 Config'!$O$1=1,'DDR4 Spec'!H17,IF('DDR4 Config'!$O$1=2,'DDR4 Spec'!S17,IF('DDR4 Config'!$O$1=3,'DDR4 Spec'!AD17,'DDR4 Spec'!#REF!)))</f>
        <v>0</v>
      </c>
      <c r="I80" s="51">
        <f>IF('DDR4 Config'!$O$1=1,'DDR4 Spec'!I17,IF('DDR4 Config'!$O$1=2,'DDR4 Spec'!T17,IF('DDR4 Config'!$O$1=3,'DDR4 Spec'!AE17,'DDR4 Spec'!#REF!)))</f>
        <v>0</v>
      </c>
      <c r="J80" s="51">
        <f>IF('DDR4 Config'!$O$1=1,'DDR4 Spec'!J17,IF('DDR4 Config'!$O$1=2,'DDR4 Spec'!U17,IF('DDR4 Config'!$O$1=3,'DDR4 Spec'!AF17,'DDR4 Spec'!#REF!)))</f>
        <v>0</v>
      </c>
      <c r="K80" s="51">
        <f>IF('DDR4 Config'!$O$1=1,'DDR4 Spec'!K17,IF('DDR4 Config'!$O$1=2,'DDR4 Spec'!V17,IF('DDR4 Config'!$O$1=3,'DDR4 Spec'!AG17,'DDR4 Spec'!#REF!)))</f>
        <v>0</v>
      </c>
      <c r="L80" s="51">
        <f>IF('DDR4 Config'!$O$1=1,'DDR4 Spec'!L17,IF('DDR4 Config'!$O$1=2,'DDR4 Spec'!W17,IF('DDR4 Config'!$O$1=3,'DDR4 Spec'!AH17,'DDR4 Spec'!#REF!)))</f>
        <v>0</v>
      </c>
      <c r="M80" s="51">
        <f>IF('DDR4 Config'!$O$1=1,'DDR4 Spec'!M17,IF('DDR4 Config'!$O$1=2,'DDR4 Spec'!X17,IF('DDR4 Config'!$O$1=3,'DDR4 Spec'!AI17,'DDR4 Spec'!#REF!)))</f>
        <v>0</v>
      </c>
      <c r="N80" s="51">
        <f>IF('DDR4 Config'!$O$1=1,'DDR4 Spec'!N17,IF('DDR4 Config'!$O$1=2,'DDR4 Spec'!Y17,IF('DDR4 Config'!$O$1=3,'DDR4 Spec'!AJ17,'DDR4 Spec'!#REF!)))</f>
        <v>0</v>
      </c>
      <c r="O80" s="256">
        <f>HLOOKUP($O$70,$E$70:$N$129,11)</f>
        <v>0</v>
      </c>
      <c r="P80" s="51"/>
      <c r="Q80" s="51"/>
      <c r="R80" s="51"/>
      <c r="S80" s="51"/>
      <c r="T80" s="51"/>
      <c r="U80" s="51"/>
      <c r="V80" s="51"/>
      <c r="W80" s="51"/>
      <c r="X80" s="51"/>
      <c r="Y80" s="51"/>
      <c r="Z80" s="51"/>
      <c r="AA80" s="51"/>
      <c r="AB80" s="51"/>
      <c r="AC80" s="51"/>
      <c r="AD80" s="51"/>
      <c r="AE80" s="51"/>
      <c r="AF80" s="51"/>
      <c r="AG80" s="51"/>
      <c r="AH80" s="51"/>
      <c r="AI80" s="51"/>
      <c r="AJ80" s="51"/>
      <c r="AK80" s="51"/>
      <c r="AL80" s="32"/>
    </row>
    <row r="81" spans="2:38" ht="7.5" hidden="1" customHeight="1">
      <c r="B81" s="53"/>
      <c r="C81" s="54">
        <f t="shared" si="4"/>
        <v>74</v>
      </c>
      <c r="D81" s="451"/>
      <c r="E81" s="51">
        <f>IF('DDR4 Config'!$O$1=1,'DDR4 Spec'!E18,IF('DDR4 Config'!$O$1=2,'DDR4 Spec'!P18,IF('DDR4 Config'!$O$1=3,'DDR4 Spec'!AA18,'DDR4 Spec'!#REF!)))</f>
        <v>10</v>
      </c>
      <c r="F81" s="51">
        <f>IF('DDR4 Config'!$O$1=1,'DDR4 Spec'!F18,IF('DDR4 Config'!$O$1=2,'DDR4 Spec'!Q18,IF('DDR4 Config'!$O$1=3,'DDR4 Spec'!AB18,'DDR4 Spec'!#REF!)))</f>
        <v>0</v>
      </c>
      <c r="G81" s="51">
        <f>IF('DDR4 Config'!$O$1=1,'DDR4 Spec'!G18,IF('DDR4 Config'!$O$1=2,'DDR4 Spec'!R18,IF('DDR4 Config'!$O$1=3,'DDR4 Spec'!AC18,'DDR4 Spec'!#REF!)))</f>
        <v>0</v>
      </c>
      <c r="H81" s="51">
        <f>IF('DDR4 Config'!$O$1=1,'DDR4 Spec'!H18,IF('DDR4 Config'!$O$1=2,'DDR4 Spec'!S18,IF('DDR4 Config'!$O$1=3,'DDR4 Spec'!AD18,'DDR4 Spec'!#REF!)))</f>
        <v>0</v>
      </c>
      <c r="I81" s="51">
        <f>IF('DDR4 Config'!$O$1=1,'DDR4 Spec'!I18,IF('DDR4 Config'!$O$1=2,'DDR4 Spec'!T18,IF('DDR4 Config'!$O$1=3,'DDR4 Spec'!AE18,'DDR4 Spec'!#REF!)))</f>
        <v>0</v>
      </c>
      <c r="J81" s="51">
        <f>IF('DDR4 Config'!$O$1=1,'DDR4 Spec'!J18,IF('DDR4 Config'!$O$1=2,'DDR4 Spec'!U18,IF('DDR4 Config'!$O$1=3,'DDR4 Spec'!AF18,'DDR4 Spec'!#REF!)))</f>
        <v>0</v>
      </c>
      <c r="K81" s="51">
        <f>IF('DDR4 Config'!$O$1=1,'DDR4 Spec'!K18,IF('DDR4 Config'!$O$1=2,'DDR4 Spec'!V18,IF('DDR4 Config'!$O$1=3,'DDR4 Spec'!AG18,'DDR4 Spec'!#REF!)))</f>
        <v>0</v>
      </c>
      <c r="L81" s="51">
        <f>IF('DDR4 Config'!$O$1=1,'DDR4 Spec'!L18,IF('DDR4 Config'!$O$1=2,'DDR4 Spec'!W18,IF('DDR4 Config'!$O$1=3,'DDR4 Spec'!AH18,'DDR4 Spec'!#REF!)))</f>
        <v>0</v>
      </c>
      <c r="M81" s="51">
        <f>IF('DDR4 Config'!$O$1=1,'DDR4 Spec'!M18,IF('DDR4 Config'!$O$1=2,'DDR4 Spec'!X18,IF('DDR4 Config'!$O$1=3,'DDR4 Spec'!AI18,'DDR4 Spec'!#REF!)))</f>
        <v>0</v>
      </c>
      <c r="N81" s="51">
        <f>IF('DDR4 Config'!$O$1=1,'DDR4 Spec'!N18,IF('DDR4 Config'!$O$1=2,'DDR4 Spec'!Y18,IF('DDR4 Config'!$O$1=3,'DDR4 Spec'!AJ18,'DDR4 Spec'!#REF!)))</f>
        <v>0</v>
      </c>
      <c r="O81" s="256">
        <f>HLOOKUP($O$70,$E$70:$N$129,12)</f>
        <v>0</v>
      </c>
      <c r="P81" s="51"/>
      <c r="Q81" s="51"/>
      <c r="R81" s="51"/>
      <c r="S81" s="51"/>
      <c r="T81" s="51"/>
      <c r="U81" s="51"/>
      <c r="V81" s="51"/>
      <c r="W81" s="51"/>
      <c r="X81" s="51"/>
      <c r="Y81" s="51"/>
      <c r="Z81" s="51"/>
      <c r="AA81" s="51"/>
      <c r="AB81" s="51"/>
      <c r="AC81" s="51"/>
      <c r="AD81" s="51"/>
      <c r="AE81" s="51"/>
      <c r="AF81" s="51"/>
      <c r="AG81" s="51"/>
      <c r="AH81" s="51"/>
      <c r="AI81" s="51"/>
      <c r="AJ81" s="51"/>
      <c r="AK81" s="51"/>
      <c r="AL81" s="32"/>
    </row>
    <row r="82" spans="2:38" ht="7.5" hidden="1" customHeight="1">
      <c r="B82" s="53"/>
      <c r="C82" s="54">
        <f t="shared" si="4"/>
        <v>75</v>
      </c>
      <c r="D82" s="458" t="s">
        <v>168</v>
      </c>
      <c r="E82" s="51">
        <f>IF('DDR4 Config'!$O$1=1,'DDR4 Spec'!E19,IF('DDR4 Config'!$O$1=2,'DDR4 Spec'!P19,IF('DDR4 Config'!$O$1=3,'DDR4 Spec'!AA19,'DDR4 Spec'!#REF!)))</f>
        <v>88</v>
      </c>
      <c r="F82" s="51">
        <f>IF('DDR4 Config'!$O$1=1,'DDR4 Spec'!F19,IF('DDR4 Config'!$O$1=2,'DDR4 Spec'!Q19,IF('DDR4 Config'!$O$1=3,'DDR4 Spec'!AB19,'DDR4 Spec'!#REF!)))</f>
        <v>0</v>
      </c>
      <c r="G82" s="51">
        <f>IF('DDR4 Config'!$O$1=1,'DDR4 Spec'!G19,IF('DDR4 Config'!$O$1=2,'DDR4 Spec'!R19,IF('DDR4 Config'!$O$1=3,'DDR4 Spec'!AC19,'DDR4 Spec'!#REF!)))</f>
        <v>0</v>
      </c>
      <c r="H82" s="51">
        <f>IF('DDR4 Config'!$O$1=1,'DDR4 Spec'!H19,IF('DDR4 Config'!$O$1=2,'DDR4 Spec'!S19,IF('DDR4 Config'!$O$1=3,'DDR4 Spec'!AD19,'DDR4 Spec'!#REF!)))</f>
        <v>0</v>
      </c>
      <c r="I82" s="51">
        <f>IF('DDR4 Config'!$O$1=1,'DDR4 Spec'!I19,IF('DDR4 Config'!$O$1=2,'DDR4 Spec'!T19,IF('DDR4 Config'!$O$1=3,'DDR4 Spec'!AE19,'DDR4 Spec'!#REF!)))</f>
        <v>0</v>
      </c>
      <c r="J82" s="51">
        <f>IF('DDR4 Config'!$O$1=1,'DDR4 Spec'!J19,IF('DDR4 Config'!$O$1=2,'DDR4 Spec'!U19,IF('DDR4 Config'!$O$1=3,'DDR4 Spec'!AF19,'DDR4 Spec'!#REF!)))</f>
        <v>0</v>
      </c>
      <c r="K82" s="51">
        <f>IF('DDR4 Config'!$O$1=1,'DDR4 Spec'!K19,IF('DDR4 Config'!$O$1=2,'DDR4 Spec'!V19,IF('DDR4 Config'!$O$1=3,'DDR4 Spec'!AG19,'DDR4 Spec'!#REF!)))</f>
        <v>0</v>
      </c>
      <c r="L82" s="51">
        <f>IF('DDR4 Config'!$O$1=1,'DDR4 Spec'!L19,IF('DDR4 Config'!$O$1=2,'DDR4 Spec'!W19,IF('DDR4 Config'!$O$1=3,'DDR4 Spec'!AH19,'DDR4 Spec'!#REF!)))</f>
        <v>0</v>
      </c>
      <c r="M82" s="51">
        <f>IF('DDR4 Config'!$O$1=1,'DDR4 Spec'!M19,IF('DDR4 Config'!$O$1=2,'DDR4 Spec'!X19,IF('DDR4 Config'!$O$1=3,'DDR4 Spec'!AI19,'DDR4 Spec'!#REF!)))</f>
        <v>0</v>
      </c>
      <c r="N82" s="51">
        <f>IF('DDR4 Config'!$O$1=1,'DDR4 Spec'!N19,IF('DDR4 Config'!$O$1=2,'DDR4 Spec'!Y19,IF('DDR4 Config'!$O$1=3,'DDR4 Spec'!AJ19,'DDR4 Spec'!#REF!)))</f>
        <v>0</v>
      </c>
      <c r="O82" s="256">
        <f>HLOOKUP($O$70,$E$70:$N$129,13)</f>
        <v>0</v>
      </c>
      <c r="P82" s="51"/>
      <c r="Q82" s="51"/>
      <c r="R82" s="51"/>
      <c r="S82" s="51"/>
      <c r="T82" s="51"/>
      <c r="U82" s="51"/>
      <c r="V82" s="51"/>
      <c r="W82" s="51"/>
      <c r="X82" s="51"/>
      <c r="Y82" s="51"/>
      <c r="Z82" s="51"/>
      <c r="AA82" s="51"/>
      <c r="AB82" s="51"/>
      <c r="AC82" s="51"/>
      <c r="AD82" s="51"/>
      <c r="AE82" s="51"/>
      <c r="AF82" s="51"/>
      <c r="AG82" s="51"/>
      <c r="AH82" s="51"/>
      <c r="AI82" s="51"/>
      <c r="AJ82" s="51"/>
      <c r="AK82" s="51"/>
      <c r="AL82" s="32"/>
    </row>
    <row r="83" spans="2:38" ht="7.5" hidden="1" customHeight="1">
      <c r="B83" s="53"/>
      <c r="C83" s="54">
        <f t="shared" si="4"/>
        <v>76</v>
      </c>
      <c r="D83" s="459"/>
      <c r="E83" s="51">
        <f>IF('DDR4 Config'!$O$1=1,'DDR4 Spec'!E20,IF('DDR4 Config'!$O$1=2,'DDR4 Spec'!P20,IF('DDR4 Config'!$O$1=3,'DDR4 Spec'!AA20,'DDR4 Spec'!#REF!)))</f>
        <v>88</v>
      </c>
      <c r="F83" s="51">
        <f>IF('DDR4 Config'!$O$1=1,'DDR4 Spec'!F20,IF('DDR4 Config'!$O$1=2,'DDR4 Spec'!Q20,IF('DDR4 Config'!$O$1=3,'DDR4 Spec'!AB20,'DDR4 Spec'!#REF!)))</f>
        <v>0</v>
      </c>
      <c r="G83" s="51">
        <f>IF('DDR4 Config'!$O$1=1,'DDR4 Spec'!G20,IF('DDR4 Config'!$O$1=2,'DDR4 Spec'!R20,IF('DDR4 Config'!$O$1=3,'DDR4 Spec'!AC20,'DDR4 Spec'!#REF!)))</f>
        <v>0</v>
      </c>
      <c r="H83" s="51">
        <f>IF('DDR4 Config'!$O$1=1,'DDR4 Spec'!H20,IF('DDR4 Config'!$O$1=2,'DDR4 Spec'!S20,IF('DDR4 Config'!$O$1=3,'DDR4 Spec'!AD20,'DDR4 Spec'!#REF!)))</f>
        <v>0</v>
      </c>
      <c r="I83" s="51">
        <f>IF('DDR4 Config'!$O$1=1,'DDR4 Spec'!I20,IF('DDR4 Config'!$O$1=2,'DDR4 Spec'!T20,IF('DDR4 Config'!$O$1=3,'DDR4 Spec'!AE20,'DDR4 Spec'!#REF!)))</f>
        <v>0</v>
      </c>
      <c r="J83" s="51">
        <f>IF('DDR4 Config'!$O$1=1,'DDR4 Spec'!J20,IF('DDR4 Config'!$O$1=2,'DDR4 Spec'!U20,IF('DDR4 Config'!$O$1=3,'DDR4 Spec'!AF20,'DDR4 Spec'!#REF!)))</f>
        <v>0</v>
      </c>
      <c r="K83" s="51">
        <f>IF('DDR4 Config'!$O$1=1,'DDR4 Spec'!K20,IF('DDR4 Config'!$O$1=2,'DDR4 Spec'!V20,IF('DDR4 Config'!$O$1=3,'DDR4 Spec'!AG20,'DDR4 Spec'!#REF!)))</f>
        <v>0</v>
      </c>
      <c r="L83" s="51">
        <f>IF('DDR4 Config'!$O$1=1,'DDR4 Spec'!L20,IF('DDR4 Config'!$O$1=2,'DDR4 Spec'!W20,IF('DDR4 Config'!$O$1=3,'DDR4 Spec'!AH20,'DDR4 Spec'!#REF!)))</f>
        <v>0</v>
      </c>
      <c r="M83" s="51">
        <f>IF('DDR4 Config'!$O$1=1,'DDR4 Spec'!M20,IF('DDR4 Config'!$O$1=2,'DDR4 Spec'!X20,IF('DDR4 Config'!$O$1=3,'DDR4 Spec'!AI20,'DDR4 Spec'!#REF!)))</f>
        <v>0</v>
      </c>
      <c r="N83" s="51">
        <f>IF('DDR4 Config'!$O$1=1,'DDR4 Spec'!N20,IF('DDR4 Config'!$O$1=2,'DDR4 Spec'!Y20,IF('DDR4 Config'!$O$1=3,'DDR4 Spec'!AJ20,'DDR4 Spec'!#REF!)))</f>
        <v>0</v>
      </c>
      <c r="O83" s="256">
        <f>HLOOKUP($O$70,$E$70:$N$129,14)</f>
        <v>0</v>
      </c>
      <c r="P83" s="51"/>
      <c r="Q83" s="51"/>
      <c r="R83" s="51"/>
      <c r="S83" s="51"/>
      <c r="T83" s="51"/>
      <c r="U83" s="51"/>
      <c r="V83" s="51"/>
      <c r="W83" s="51"/>
      <c r="X83" s="51"/>
      <c r="Y83" s="51"/>
      <c r="Z83" s="51"/>
      <c r="AA83" s="51"/>
      <c r="AB83" s="51"/>
      <c r="AC83" s="51"/>
      <c r="AD83" s="51"/>
      <c r="AE83" s="51"/>
      <c r="AF83" s="51"/>
      <c r="AG83" s="51"/>
      <c r="AH83" s="51"/>
      <c r="AI83" s="51"/>
      <c r="AJ83" s="51"/>
      <c r="AK83" s="51"/>
      <c r="AL83" s="32"/>
    </row>
    <row r="84" spans="2:38" ht="7.5" hidden="1" customHeight="1">
      <c r="B84" s="53"/>
      <c r="C84" s="54">
        <f t="shared" si="4"/>
        <v>77</v>
      </c>
      <c r="D84" s="460"/>
      <c r="E84" s="51">
        <f>IF('DDR4 Config'!$O$1=1,'DDR4 Spec'!E21,IF('DDR4 Config'!$O$1=2,'DDR4 Spec'!P21,IF('DDR4 Config'!$O$1=3,'DDR4 Spec'!AA21,'DDR4 Spec'!#REF!)))</f>
        <v>88</v>
      </c>
      <c r="F84" s="51">
        <f>IF('DDR4 Config'!$O$1=1,'DDR4 Spec'!F21,IF('DDR4 Config'!$O$1=2,'DDR4 Spec'!Q21,IF('DDR4 Config'!$O$1=3,'DDR4 Spec'!AB21,'DDR4 Spec'!#REF!)))</f>
        <v>0</v>
      </c>
      <c r="G84" s="51">
        <f>IF('DDR4 Config'!$O$1=1,'DDR4 Spec'!G21,IF('DDR4 Config'!$O$1=2,'DDR4 Spec'!R21,IF('DDR4 Config'!$O$1=3,'DDR4 Spec'!AC21,'DDR4 Spec'!#REF!)))</f>
        <v>0</v>
      </c>
      <c r="H84" s="51">
        <f>IF('DDR4 Config'!$O$1=1,'DDR4 Spec'!H21,IF('DDR4 Config'!$O$1=2,'DDR4 Spec'!S21,IF('DDR4 Config'!$O$1=3,'DDR4 Spec'!AD21,'DDR4 Spec'!#REF!)))</f>
        <v>0</v>
      </c>
      <c r="I84" s="51">
        <f>IF('DDR4 Config'!$O$1=1,'DDR4 Spec'!I21,IF('DDR4 Config'!$O$1=2,'DDR4 Spec'!T21,IF('DDR4 Config'!$O$1=3,'DDR4 Spec'!AE21,'DDR4 Spec'!#REF!)))</f>
        <v>0</v>
      </c>
      <c r="J84" s="51">
        <f>IF('DDR4 Config'!$O$1=1,'DDR4 Spec'!J21,IF('DDR4 Config'!$O$1=2,'DDR4 Spec'!U21,IF('DDR4 Config'!$O$1=3,'DDR4 Spec'!AF21,'DDR4 Spec'!#REF!)))</f>
        <v>0</v>
      </c>
      <c r="K84" s="51">
        <f>IF('DDR4 Config'!$O$1=1,'DDR4 Spec'!K21,IF('DDR4 Config'!$O$1=2,'DDR4 Spec'!V21,IF('DDR4 Config'!$O$1=3,'DDR4 Spec'!AG21,'DDR4 Spec'!#REF!)))</f>
        <v>0</v>
      </c>
      <c r="L84" s="51">
        <f>IF('DDR4 Config'!$O$1=1,'DDR4 Spec'!L21,IF('DDR4 Config'!$O$1=2,'DDR4 Spec'!W21,IF('DDR4 Config'!$O$1=3,'DDR4 Spec'!AH21,'DDR4 Spec'!#REF!)))</f>
        <v>0</v>
      </c>
      <c r="M84" s="51">
        <f>IF('DDR4 Config'!$O$1=1,'DDR4 Spec'!M21,IF('DDR4 Config'!$O$1=2,'DDR4 Spec'!X21,IF('DDR4 Config'!$O$1=3,'DDR4 Spec'!AI21,'DDR4 Spec'!#REF!)))</f>
        <v>0</v>
      </c>
      <c r="N84" s="51">
        <f>IF('DDR4 Config'!$O$1=1,'DDR4 Spec'!N21,IF('DDR4 Config'!$O$1=2,'DDR4 Spec'!Y21,IF('DDR4 Config'!$O$1=3,'DDR4 Spec'!AJ21,'DDR4 Spec'!#REF!)))</f>
        <v>0</v>
      </c>
      <c r="O84" s="256">
        <f>HLOOKUP($O$70,$E$70:$N$129,15)</f>
        <v>0</v>
      </c>
      <c r="P84" s="51"/>
      <c r="Q84" s="51"/>
      <c r="R84" s="51"/>
      <c r="S84" s="51"/>
      <c r="T84" s="51"/>
      <c r="U84" s="51"/>
      <c r="V84" s="51"/>
      <c r="W84" s="51"/>
      <c r="X84" s="51"/>
      <c r="Y84" s="51"/>
      <c r="Z84" s="51"/>
      <c r="AA84" s="51"/>
      <c r="AB84" s="51"/>
      <c r="AC84" s="51"/>
      <c r="AD84" s="51"/>
      <c r="AE84" s="51"/>
      <c r="AF84" s="51"/>
      <c r="AG84" s="51"/>
      <c r="AH84" s="51"/>
      <c r="AI84" s="51"/>
      <c r="AJ84" s="51"/>
      <c r="AK84" s="51"/>
      <c r="AL84" s="32"/>
    </row>
    <row r="85" spans="2:38" ht="7.5" hidden="1" customHeight="1">
      <c r="B85" s="53"/>
      <c r="C85" s="54">
        <f t="shared" si="4"/>
        <v>78</v>
      </c>
      <c r="D85" s="455" t="s">
        <v>158</v>
      </c>
      <c r="E85" s="51">
        <f>IF('DDR4 Config'!$O$1=1,'DDR4 Spec'!E22,IF('DDR4 Config'!$O$1=2,'DDR4 Spec'!P22,IF('DDR4 Config'!$O$1=3,'DDR4 Spec'!AA22,'DDR4 Spec'!#REF!)))</f>
        <v>92</v>
      </c>
      <c r="F85" s="51">
        <f>IF('DDR4 Config'!$O$1=1,'DDR4 Spec'!F22,IF('DDR4 Config'!$O$1=2,'DDR4 Spec'!Q22,IF('DDR4 Config'!$O$1=3,'DDR4 Spec'!AB22,'DDR4 Spec'!#REF!)))</f>
        <v>0</v>
      </c>
      <c r="G85" s="51">
        <f>IF('DDR4 Config'!$O$1=1,'DDR4 Spec'!G22,IF('DDR4 Config'!$O$1=2,'DDR4 Spec'!R22,IF('DDR4 Config'!$O$1=3,'DDR4 Spec'!AC22,'DDR4 Spec'!#REF!)))</f>
        <v>0</v>
      </c>
      <c r="H85" s="51">
        <f>IF('DDR4 Config'!$O$1=1,'DDR4 Spec'!H22,IF('DDR4 Config'!$O$1=2,'DDR4 Spec'!S22,IF('DDR4 Config'!$O$1=3,'DDR4 Spec'!AD22,'DDR4 Spec'!#REF!)))</f>
        <v>0</v>
      </c>
      <c r="I85" s="51">
        <f>IF('DDR4 Config'!$O$1=1,'DDR4 Spec'!I22,IF('DDR4 Config'!$O$1=2,'DDR4 Spec'!T22,IF('DDR4 Config'!$O$1=3,'DDR4 Spec'!AE22,'DDR4 Spec'!#REF!)))</f>
        <v>0</v>
      </c>
      <c r="J85" s="51">
        <f>IF('DDR4 Config'!$O$1=1,'DDR4 Spec'!J22,IF('DDR4 Config'!$O$1=2,'DDR4 Spec'!U22,IF('DDR4 Config'!$O$1=3,'DDR4 Spec'!AF22,'DDR4 Spec'!#REF!)))</f>
        <v>0</v>
      </c>
      <c r="K85" s="51">
        <f>IF('DDR4 Config'!$O$1=1,'DDR4 Spec'!K22,IF('DDR4 Config'!$O$1=2,'DDR4 Spec'!V22,IF('DDR4 Config'!$O$1=3,'DDR4 Spec'!AG22,'DDR4 Spec'!#REF!)))</f>
        <v>0</v>
      </c>
      <c r="L85" s="51">
        <f>IF('DDR4 Config'!$O$1=1,'DDR4 Spec'!L22,IF('DDR4 Config'!$O$1=2,'DDR4 Spec'!W22,IF('DDR4 Config'!$O$1=3,'DDR4 Spec'!AH22,'DDR4 Spec'!#REF!)))</f>
        <v>0</v>
      </c>
      <c r="M85" s="51">
        <f>IF('DDR4 Config'!$O$1=1,'DDR4 Spec'!M22,IF('DDR4 Config'!$O$1=2,'DDR4 Spec'!X22,IF('DDR4 Config'!$O$1=3,'DDR4 Spec'!AI22,'DDR4 Spec'!#REF!)))</f>
        <v>0</v>
      </c>
      <c r="N85" s="51">
        <f>IF('DDR4 Config'!$O$1=1,'DDR4 Spec'!N22,IF('DDR4 Config'!$O$1=2,'DDR4 Spec'!Y22,IF('DDR4 Config'!$O$1=3,'DDR4 Spec'!AJ22,'DDR4 Spec'!#REF!)))</f>
        <v>0</v>
      </c>
      <c r="O85" s="256">
        <f>HLOOKUP($O$70,$E$70:$N$129,16)</f>
        <v>0</v>
      </c>
      <c r="P85" s="51"/>
      <c r="Q85" s="51"/>
      <c r="R85" s="51"/>
      <c r="S85" s="51"/>
      <c r="T85" s="51"/>
      <c r="U85" s="51"/>
      <c r="V85" s="51"/>
      <c r="W85" s="51"/>
      <c r="X85" s="51"/>
      <c r="Y85" s="51"/>
      <c r="Z85" s="51"/>
      <c r="AA85" s="51"/>
      <c r="AB85" s="51"/>
      <c r="AC85" s="51"/>
      <c r="AD85" s="51"/>
      <c r="AE85" s="51"/>
      <c r="AF85" s="51"/>
      <c r="AG85" s="51"/>
      <c r="AH85" s="51"/>
      <c r="AI85" s="51"/>
      <c r="AJ85" s="51"/>
      <c r="AK85" s="51"/>
      <c r="AL85" s="32"/>
    </row>
    <row r="86" spans="2:38" ht="7.5" hidden="1" customHeight="1">
      <c r="B86" s="53"/>
      <c r="C86" s="54">
        <f t="shared" si="4"/>
        <v>79</v>
      </c>
      <c r="D86" s="456"/>
      <c r="E86" s="51">
        <f>IF('DDR4 Config'!$O$1=1,'DDR4 Spec'!E23,IF('DDR4 Config'!$O$1=2,'DDR4 Spec'!P23,IF('DDR4 Config'!$O$1=3,'DDR4 Spec'!AA23,'DDR4 Spec'!#REF!)))</f>
        <v>92</v>
      </c>
      <c r="F86" s="51">
        <f>IF('DDR4 Config'!$O$1=1,'DDR4 Spec'!F23,IF('DDR4 Config'!$O$1=2,'DDR4 Spec'!Q23,IF('DDR4 Config'!$O$1=3,'DDR4 Spec'!AB23,'DDR4 Spec'!#REF!)))</f>
        <v>0</v>
      </c>
      <c r="G86" s="51">
        <f>IF('DDR4 Config'!$O$1=1,'DDR4 Spec'!G23,IF('DDR4 Config'!$O$1=2,'DDR4 Spec'!R23,IF('DDR4 Config'!$O$1=3,'DDR4 Spec'!AC23,'DDR4 Spec'!#REF!)))</f>
        <v>0</v>
      </c>
      <c r="H86" s="51">
        <f>IF('DDR4 Config'!$O$1=1,'DDR4 Spec'!H23,IF('DDR4 Config'!$O$1=2,'DDR4 Spec'!S23,IF('DDR4 Config'!$O$1=3,'DDR4 Spec'!AD23,'DDR4 Spec'!#REF!)))</f>
        <v>0</v>
      </c>
      <c r="I86" s="51">
        <f>IF('DDR4 Config'!$O$1=1,'DDR4 Spec'!I23,IF('DDR4 Config'!$O$1=2,'DDR4 Spec'!T23,IF('DDR4 Config'!$O$1=3,'DDR4 Spec'!AE23,'DDR4 Spec'!#REF!)))</f>
        <v>0</v>
      </c>
      <c r="J86" s="51">
        <f>IF('DDR4 Config'!$O$1=1,'DDR4 Spec'!J23,IF('DDR4 Config'!$O$1=2,'DDR4 Spec'!U23,IF('DDR4 Config'!$O$1=3,'DDR4 Spec'!AF23,'DDR4 Spec'!#REF!)))</f>
        <v>0</v>
      </c>
      <c r="K86" s="51">
        <f>IF('DDR4 Config'!$O$1=1,'DDR4 Spec'!K23,IF('DDR4 Config'!$O$1=2,'DDR4 Spec'!V23,IF('DDR4 Config'!$O$1=3,'DDR4 Spec'!AG23,'DDR4 Spec'!#REF!)))</f>
        <v>0</v>
      </c>
      <c r="L86" s="51">
        <f>IF('DDR4 Config'!$O$1=1,'DDR4 Spec'!L23,IF('DDR4 Config'!$O$1=2,'DDR4 Spec'!W23,IF('DDR4 Config'!$O$1=3,'DDR4 Spec'!AH23,'DDR4 Spec'!#REF!)))</f>
        <v>0</v>
      </c>
      <c r="M86" s="51">
        <f>IF('DDR4 Config'!$O$1=1,'DDR4 Spec'!M23,IF('DDR4 Config'!$O$1=2,'DDR4 Spec'!X23,IF('DDR4 Config'!$O$1=3,'DDR4 Spec'!AI23,'DDR4 Spec'!#REF!)))</f>
        <v>0</v>
      </c>
      <c r="N86" s="51">
        <f>IF('DDR4 Config'!$O$1=1,'DDR4 Spec'!N23,IF('DDR4 Config'!$O$1=2,'DDR4 Spec'!Y23,IF('DDR4 Config'!$O$1=3,'DDR4 Spec'!AJ23,'DDR4 Spec'!#REF!)))</f>
        <v>0</v>
      </c>
      <c r="O86" s="256">
        <f>HLOOKUP($O$70,$E$70:$N$129,17)</f>
        <v>0</v>
      </c>
      <c r="P86" s="51"/>
      <c r="Q86" s="51"/>
      <c r="R86" s="51"/>
      <c r="S86" s="51"/>
      <c r="T86" s="51"/>
      <c r="U86" s="51"/>
      <c r="V86" s="51"/>
      <c r="W86" s="51"/>
      <c r="X86" s="51"/>
      <c r="Y86" s="51"/>
      <c r="Z86" s="51"/>
      <c r="AA86" s="51"/>
      <c r="AB86" s="51"/>
      <c r="AC86" s="51"/>
      <c r="AD86" s="51"/>
      <c r="AE86" s="51"/>
      <c r="AF86" s="51"/>
      <c r="AG86" s="51"/>
      <c r="AH86" s="51"/>
      <c r="AI86" s="51"/>
      <c r="AJ86" s="51"/>
      <c r="AK86" s="51"/>
      <c r="AL86" s="32"/>
    </row>
    <row r="87" spans="2:38" ht="7.5" hidden="1" customHeight="1">
      <c r="B87" s="53"/>
      <c r="C87" s="54">
        <f t="shared" si="4"/>
        <v>80</v>
      </c>
      <c r="D87" s="457"/>
      <c r="E87" s="51">
        <f>IF('DDR4 Config'!$O$1=1,'DDR4 Spec'!E24,IF('DDR4 Config'!$O$1=2,'DDR4 Spec'!P24,IF('DDR4 Config'!$O$1=3,'DDR4 Spec'!AA24,'DDR4 Spec'!#REF!)))</f>
        <v>92</v>
      </c>
      <c r="F87" s="51">
        <f>IF('DDR4 Config'!$O$1=1,'DDR4 Spec'!F24,IF('DDR4 Config'!$O$1=2,'DDR4 Spec'!Q24,IF('DDR4 Config'!$O$1=3,'DDR4 Spec'!AB24,'DDR4 Spec'!#REF!)))</f>
        <v>0</v>
      </c>
      <c r="G87" s="51">
        <f>IF('DDR4 Config'!$O$1=1,'DDR4 Spec'!G24,IF('DDR4 Config'!$O$1=2,'DDR4 Spec'!R24,IF('DDR4 Config'!$O$1=3,'DDR4 Spec'!AC24,'DDR4 Spec'!#REF!)))</f>
        <v>0</v>
      </c>
      <c r="H87" s="51">
        <f>IF('DDR4 Config'!$O$1=1,'DDR4 Spec'!H24,IF('DDR4 Config'!$O$1=2,'DDR4 Spec'!S24,IF('DDR4 Config'!$O$1=3,'DDR4 Spec'!AD24,'DDR4 Spec'!#REF!)))</f>
        <v>0</v>
      </c>
      <c r="I87" s="51">
        <f>IF('DDR4 Config'!$O$1=1,'DDR4 Spec'!I24,IF('DDR4 Config'!$O$1=2,'DDR4 Spec'!T24,IF('DDR4 Config'!$O$1=3,'DDR4 Spec'!AE24,'DDR4 Spec'!#REF!)))</f>
        <v>0</v>
      </c>
      <c r="J87" s="51">
        <f>IF('DDR4 Config'!$O$1=1,'DDR4 Spec'!J24,IF('DDR4 Config'!$O$1=2,'DDR4 Spec'!U24,IF('DDR4 Config'!$O$1=3,'DDR4 Spec'!AF24,'DDR4 Spec'!#REF!)))</f>
        <v>0</v>
      </c>
      <c r="K87" s="51">
        <f>IF('DDR4 Config'!$O$1=1,'DDR4 Spec'!K24,IF('DDR4 Config'!$O$1=2,'DDR4 Spec'!V24,IF('DDR4 Config'!$O$1=3,'DDR4 Spec'!AG24,'DDR4 Spec'!#REF!)))</f>
        <v>0</v>
      </c>
      <c r="L87" s="51">
        <f>IF('DDR4 Config'!$O$1=1,'DDR4 Spec'!L24,IF('DDR4 Config'!$O$1=2,'DDR4 Spec'!W24,IF('DDR4 Config'!$O$1=3,'DDR4 Spec'!AH24,'DDR4 Spec'!#REF!)))</f>
        <v>0</v>
      </c>
      <c r="M87" s="51">
        <f>IF('DDR4 Config'!$O$1=1,'DDR4 Spec'!M24,IF('DDR4 Config'!$O$1=2,'DDR4 Spec'!X24,IF('DDR4 Config'!$O$1=3,'DDR4 Spec'!AI24,'DDR4 Spec'!#REF!)))</f>
        <v>0</v>
      </c>
      <c r="N87" s="51">
        <f>IF('DDR4 Config'!$O$1=1,'DDR4 Spec'!N24,IF('DDR4 Config'!$O$1=2,'DDR4 Spec'!Y24,IF('DDR4 Config'!$O$1=3,'DDR4 Spec'!AJ24,'DDR4 Spec'!#REF!)))</f>
        <v>0</v>
      </c>
      <c r="O87" s="256">
        <f>HLOOKUP($O$70,$E$70:$N$129,18)</f>
        <v>0</v>
      </c>
      <c r="P87" s="51"/>
      <c r="Q87" s="51"/>
      <c r="R87" s="51"/>
      <c r="S87" s="51"/>
      <c r="T87" s="51"/>
      <c r="U87" s="51"/>
      <c r="V87" s="51"/>
      <c r="W87" s="51"/>
      <c r="X87" s="51"/>
      <c r="Y87" s="51"/>
      <c r="Z87" s="51"/>
      <c r="AA87" s="51"/>
      <c r="AB87" s="51"/>
      <c r="AC87" s="51"/>
      <c r="AD87" s="51"/>
      <c r="AE87" s="51"/>
      <c r="AF87" s="51"/>
      <c r="AG87" s="51"/>
      <c r="AH87" s="51"/>
      <c r="AI87" s="51"/>
      <c r="AJ87" s="51"/>
      <c r="AK87" s="51"/>
      <c r="AL87" s="32"/>
    </row>
    <row r="88" spans="2:38" ht="7.5" hidden="1" customHeight="1">
      <c r="B88" s="53"/>
      <c r="C88" s="54">
        <f t="shared" si="4"/>
        <v>81</v>
      </c>
      <c r="D88" s="451" t="s">
        <v>159</v>
      </c>
      <c r="E88" s="51">
        <f>IF('DDR4 Config'!$O$1=1,'DDR4 Spec'!E25,IF('DDR4 Config'!$O$1=2,'DDR4 Spec'!P25,IF('DDR4 Config'!$O$1=3,'DDR4 Spec'!AA25,'DDR4 Spec'!#REF!)))</f>
        <v>140</v>
      </c>
      <c r="F88" s="51">
        <f>IF('DDR4 Config'!$O$1=1,'DDR4 Spec'!F25,IF('DDR4 Config'!$O$1=2,'DDR4 Spec'!Q25,IF('DDR4 Config'!$O$1=3,'DDR4 Spec'!AB25,'DDR4 Spec'!#REF!)))</f>
        <v>0</v>
      </c>
      <c r="G88" s="51">
        <f>IF('DDR4 Config'!$O$1=1,'DDR4 Spec'!G25,IF('DDR4 Config'!$O$1=2,'DDR4 Spec'!R25,IF('DDR4 Config'!$O$1=3,'DDR4 Spec'!AC25,'DDR4 Spec'!#REF!)))</f>
        <v>0</v>
      </c>
      <c r="H88" s="51">
        <f>IF('DDR4 Config'!$O$1=1,'DDR4 Spec'!H25,IF('DDR4 Config'!$O$1=2,'DDR4 Spec'!S25,IF('DDR4 Config'!$O$1=3,'DDR4 Spec'!AD25,'DDR4 Spec'!#REF!)))</f>
        <v>0</v>
      </c>
      <c r="I88" s="51">
        <f>IF('DDR4 Config'!$O$1=1,'DDR4 Spec'!I25,IF('DDR4 Config'!$O$1=2,'DDR4 Spec'!T25,IF('DDR4 Config'!$O$1=3,'DDR4 Spec'!AE25,'DDR4 Spec'!#REF!)))</f>
        <v>0</v>
      </c>
      <c r="J88" s="51">
        <f>IF('DDR4 Config'!$O$1=1,'DDR4 Spec'!J25,IF('DDR4 Config'!$O$1=2,'DDR4 Spec'!U25,IF('DDR4 Config'!$O$1=3,'DDR4 Spec'!AF25,'DDR4 Spec'!#REF!)))</f>
        <v>0</v>
      </c>
      <c r="K88" s="51">
        <f>IF('DDR4 Config'!$O$1=1,'DDR4 Spec'!K25,IF('DDR4 Config'!$O$1=2,'DDR4 Spec'!V25,IF('DDR4 Config'!$O$1=3,'DDR4 Spec'!AG25,'DDR4 Spec'!#REF!)))</f>
        <v>0</v>
      </c>
      <c r="L88" s="51">
        <f>IF('DDR4 Config'!$O$1=1,'DDR4 Spec'!L25,IF('DDR4 Config'!$O$1=2,'DDR4 Spec'!W25,IF('DDR4 Config'!$O$1=3,'DDR4 Spec'!AH25,'DDR4 Spec'!#REF!)))</f>
        <v>0</v>
      </c>
      <c r="M88" s="51">
        <f>IF('DDR4 Config'!$O$1=1,'DDR4 Spec'!M25,IF('DDR4 Config'!$O$1=2,'DDR4 Spec'!X25,IF('DDR4 Config'!$O$1=3,'DDR4 Spec'!AI25,'DDR4 Spec'!#REF!)))</f>
        <v>0</v>
      </c>
      <c r="N88" s="51">
        <f>IF('DDR4 Config'!$O$1=1,'DDR4 Spec'!N25,IF('DDR4 Config'!$O$1=2,'DDR4 Spec'!Y25,IF('DDR4 Config'!$O$1=3,'DDR4 Spec'!AJ25,'DDR4 Spec'!#REF!)))</f>
        <v>0</v>
      </c>
      <c r="O88" s="256">
        <f>HLOOKUP($O$70,$E$70:$N$129,19)</f>
        <v>0</v>
      </c>
      <c r="P88" s="51"/>
      <c r="Q88" s="51"/>
      <c r="R88" s="51"/>
      <c r="S88" s="51"/>
      <c r="T88" s="51"/>
      <c r="U88" s="51"/>
      <c r="V88" s="51"/>
      <c r="W88" s="51"/>
      <c r="X88" s="51"/>
      <c r="Y88" s="51"/>
      <c r="Z88" s="51"/>
      <c r="AA88" s="51"/>
      <c r="AB88" s="51"/>
      <c r="AC88" s="51"/>
      <c r="AD88" s="51"/>
      <c r="AE88" s="51"/>
      <c r="AF88" s="51"/>
      <c r="AG88" s="51"/>
      <c r="AH88" s="51"/>
      <c r="AI88" s="51"/>
      <c r="AJ88" s="51"/>
      <c r="AK88" s="51"/>
      <c r="AL88" s="32"/>
    </row>
    <row r="89" spans="2:38" ht="7.5" hidden="1" customHeight="1">
      <c r="B89" s="53"/>
      <c r="C89" s="54">
        <f t="shared" si="4"/>
        <v>82</v>
      </c>
      <c r="D89" s="451"/>
      <c r="E89" s="51">
        <f>IF('DDR4 Config'!$O$1=1,'DDR4 Spec'!E26,IF('DDR4 Config'!$O$1=2,'DDR4 Spec'!P26,IF('DDR4 Config'!$O$1=3,'DDR4 Spec'!AA26,'DDR4 Spec'!#REF!)))</f>
        <v>140</v>
      </c>
      <c r="F89" s="51">
        <f>IF('DDR4 Config'!$O$1=1,'DDR4 Spec'!F26,IF('DDR4 Config'!$O$1=2,'DDR4 Spec'!Q26,IF('DDR4 Config'!$O$1=3,'DDR4 Spec'!AB26,'DDR4 Spec'!#REF!)))</f>
        <v>0</v>
      </c>
      <c r="G89" s="51">
        <f>IF('DDR4 Config'!$O$1=1,'DDR4 Spec'!G26,IF('DDR4 Config'!$O$1=2,'DDR4 Spec'!R26,IF('DDR4 Config'!$O$1=3,'DDR4 Spec'!AC26,'DDR4 Spec'!#REF!)))</f>
        <v>0</v>
      </c>
      <c r="H89" s="51">
        <f>IF('DDR4 Config'!$O$1=1,'DDR4 Spec'!H26,IF('DDR4 Config'!$O$1=2,'DDR4 Spec'!S26,IF('DDR4 Config'!$O$1=3,'DDR4 Spec'!AD26,'DDR4 Spec'!#REF!)))</f>
        <v>0</v>
      </c>
      <c r="I89" s="51">
        <f>IF('DDR4 Config'!$O$1=1,'DDR4 Spec'!I26,IF('DDR4 Config'!$O$1=2,'DDR4 Spec'!T26,IF('DDR4 Config'!$O$1=3,'DDR4 Spec'!AE26,'DDR4 Spec'!#REF!)))</f>
        <v>0</v>
      </c>
      <c r="J89" s="51">
        <f>IF('DDR4 Config'!$O$1=1,'DDR4 Spec'!J26,IF('DDR4 Config'!$O$1=2,'DDR4 Spec'!U26,IF('DDR4 Config'!$O$1=3,'DDR4 Spec'!AF26,'DDR4 Spec'!#REF!)))</f>
        <v>0</v>
      </c>
      <c r="K89" s="51">
        <f>IF('DDR4 Config'!$O$1=1,'DDR4 Spec'!K26,IF('DDR4 Config'!$O$1=2,'DDR4 Spec'!V26,IF('DDR4 Config'!$O$1=3,'DDR4 Spec'!AG26,'DDR4 Spec'!#REF!)))</f>
        <v>0</v>
      </c>
      <c r="L89" s="51">
        <f>IF('DDR4 Config'!$O$1=1,'DDR4 Spec'!L26,IF('DDR4 Config'!$O$1=2,'DDR4 Spec'!W26,IF('DDR4 Config'!$O$1=3,'DDR4 Spec'!AH26,'DDR4 Spec'!#REF!)))</f>
        <v>0</v>
      </c>
      <c r="M89" s="51">
        <f>IF('DDR4 Config'!$O$1=1,'DDR4 Spec'!M26,IF('DDR4 Config'!$O$1=2,'DDR4 Spec'!X26,IF('DDR4 Config'!$O$1=3,'DDR4 Spec'!AI26,'DDR4 Spec'!#REF!)))</f>
        <v>0</v>
      </c>
      <c r="N89" s="51">
        <f>IF('DDR4 Config'!$O$1=1,'DDR4 Spec'!N26,IF('DDR4 Config'!$O$1=2,'DDR4 Spec'!Y26,IF('DDR4 Config'!$O$1=3,'DDR4 Spec'!AJ26,'DDR4 Spec'!#REF!)))</f>
        <v>0</v>
      </c>
      <c r="O89" s="256">
        <f>HLOOKUP($O$70,$E$70:$N$129,20)</f>
        <v>0</v>
      </c>
      <c r="P89" s="51"/>
      <c r="Q89" s="51"/>
      <c r="R89" s="51"/>
      <c r="S89" s="51"/>
      <c r="T89" s="51"/>
      <c r="U89" s="51"/>
      <c r="V89" s="51"/>
      <c r="W89" s="51"/>
      <c r="X89" s="51"/>
      <c r="Y89" s="51"/>
      <c r="Z89" s="51"/>
      <c r="AA89" s="51"/>
      <c r="AB89" s="51"/>
      <c r="AC89" s="51"/>
      <c r="AD89" s="51"/>
      <c r="AE89" s="51"/>
      <c r="AF89" s="51"/>
      <c r="AG89" s="51"/>
      <c r="AH89" s="51"/>
      <c r="AI89" s="51"/>
      <c r="AJ89" s="51"/>
      <c r="AK89" s="51"/>
      <c r="AL89" s="32"/>
    </row>
    <row r="90" spans="2:38" ht="7.5" hidden="1" customHeight="1">
      <c r="B90" s="53"/>
      <c r="C90" s="54">
        <f t="shared" si="4"/>
        <v>83</v>
      </c>
      <c r="D90" s="451"/>
      <c r="E90" s="51">
        <f>IF('DDR4 Config'!$O$1=1,'DDR4 Spec'!E27,IF('DDR4 Config'!$O$1=2,'DDR4 Spec'!P27,IF('DDR4 Config'!$O$1=3,'DDR4 Spec'!AA27,'DDR4 Spec'!#REF!)))</f>
        <v>140</v>
      </c>
      <c r="F90" s="51">
        <f>IF('DDR4 Config'!$O$1=1,'DDR4 Spec'!F27,IF('DDR4 Config'!$O$1=2,'DDR4 Spec'!Q27,IF('DDR4 Config'!$O$1=3,'DDR4 Spec'!AB27,'DDR4 Spec'!#REF!)))</f>
        <v>0</v>
      </c>
      <c r="G90" s="51">
        <f>IF('DDR4 Config'!$O$1=1,'DDR4 Spec'!G27,IF('DDR4 Config'!$O$1=2,'DDR4 Spec'!R27,IF('DDR4 Config'!$O$1=3,'DDR4 Spec'!AC27,'DDR4 Spec'!#REF!)))</f>
        <v>0</v>
      </c>
      <c r="H90" s="51">
        <f>IF('DDR4 Config'!$O$1=1,'DDR4 Spec'!H27,IF('DDR4 Config'!$O$1=2,'DDR4 Spec'!S27,IF('DDR4 Config'!$O$1=3,'DDR4 Spec'!AD27,'DDR4 Spec'!#REF!)))</f>
        <v>0</v>
      </c>
      <c r="I90" s="51">
        <f>IF('DDR4 Config'!$O$1=1,'DDR4 Spec'!I27,IF('DDR4 Config'!$O$1=2,'DDR4 Spec'!T27,IF('DDR4 Config'!$O$1=3,'DDR4 Spec'!AE27,'DDR4 Spec'!#REF!)))</f>
        <v>0</v>
      </c>
      <c r="J90" s="51">
        <f>IF('DDR4 Config'!$O$1=1,'DDR4 Spec'!J27,IF('DDR4 Config'!$O$1=2,'DDR4 Spec'!U27,IF('DDR4 Config'!$O$1=3,'DDR4 Spec'!AF27,'DDR4 Spec'!#REF!)))</f>
        <v>0</v>
      </c>
      <c r="K90" s="51">
        <f>IF('DDR4 Config'!$O$1=1,'DDR4 Spec'!K27,IF('DDR4 Config'!$O$1=2,'DDR4 Spec'!V27,IF('DDR4 Config'!$O$1=3,'DDR4 Spec'!AG27,'DDR4 Spec'!#REF!)))</f>
        <v>0</v>
      </c>
      <c r="L90" s="51">
        <f>IF('DDR4 Config'!$O$1=1,'DDR4 Spec'!L27,IF('DDR4 Config'!$O$1=2,'DDR4 Spec'!W27,IF('DDR4 Config'!$O$1=3,'DDR4 Spec'!AH27,'DDR4 Spec'!#REF!)))</f>
        <v>0</v>
      </c>
      <c r="M90" s="51">
        <f>IF('DDR4 Config'!$O$1=1,'DDR4 Spec'!M27,IF('DDR4 Config'!$O$1=2,'DDR4 Spec'!X27,IF('DDR4 Config'!$O$1=3,'DDR4 Spec'!AI27,'DDR4 Spec'!#REF!)))</f>
        <v>0</v>
      </c>
      <c r="N90" s="51">
        <f>IF('DDR4 Config'!$O$1=1,'DDR4 Spec'!N27,IF('DDR4 Config'!$O$1=2,'DDR4 Spec'!Y27,IF('DDR4 Config'!$O$1=3,'DDR4 Spec'!AJ27,'DDR4 Spec'!#REF!)))</f>
        <v>0</v>
      </c>
      <c r="O90" s="256">
        <f>HLOOKUP($O$70,$E$70:$N$129,21)</f>
        <v>0</v>
      </c>
      <c r="P90" s="51"/>
      <c r="Q90" s="51"/>
      <c r="R90" s="51"/>
      <c r="S90" s="51"/>
      <c r="T90" s="51"/>
      <c r="U90" s="51"/>
      <c r="V90" s="51"/>
      <c r="W90" s="51"/>
      <c r="X90" s="51"/>
      <c r="Y90" s="51"/>
      <c r="Z90" s="51"/>
      <c r="AA90" s="51"/>
      <c r="AB90" s="51"/>
      <c r="AC90" s="51"/>
      <c r="AD90" s="51"/>
      <c r="AE90" s="51"/>
      <c r="AF90" s="51"/>
      <c r="AG90" s="51"/>
      <c r="AH90" s="51"/>
      <c r="AI90" s="51"/>
      <c r="AJ90" s="51"/>
      <c r="AK90" s="51"/>
      <c r="AL90" s="32"/>
    </row>
    <row r="91" spans="2:38" ht="7.5" hidden="1" customHeight="1">
      <c r="B91" s="53"/>
      <c r="C91" s="54">
        <f t="shared" si="4"/>
        <v>84</v>
      </c>
      <c r="D91" s="451" t="s">
        <v>160</v>
      </c>
      <c r="E91" s="51">
        <f>IF('DDR4 Config'!$O$1=1,'DDR4 Spec'!E28,IF('DDR4 Config'!$O$1=2,'DDR4 Spec'!P28,IF('DDR4 Config'!$O$1=3,'DDR4 Spec'!AA28,'DDR4 Spec'!#REF!)))</f>
        <v>142</v>
      </c>
      <c r="F91" s="51">
        <f>IF('DDR4 Config'!$O$1=1,'DDR4 Spec'!F28,IF('DDR4 Config'!$O$1=2,'DDR4 Spec'!Q28,IF('DDR4 Config'!$O$1=3,'DDR4 Spec'!AB28,'DDR4 Spec'!#REF!)))</f>
        <v>0</v>
      </c>
      <c r="G91" s="51">
        <f>IF('DDR4 Config'!$O$1=1,'DDR4 Spec'!G28,IF('DDR4 Config'!$O$1=2,'DDR4 Spec'!R28,IF('DDR4 Config'!$O$1=3,'DDR4 Spec'!AC28,'DDR4 Spec'!#REF!)))</f>
        <v>0</v>
      </c>
      <c r="H91" s="51">
        <f>IF('DDR4 Config'!$O$1=1,'DDR4 Spec'!H28,IF('DDR4 Config'!$O$1=2,'DDR4 Spec'!S28,IF('DDR4 Config'!$O$1=3,'DDR4 Spec'!AD28,'DDR4 Spec'!#REF!)))</f>
        <v>0</v>
      </c>
      <c r="I91" s="51">
        <f>IF('DDR4 Config'!$O$1=1,'DDR4 Spec'!I28,IF('DDR4 Config'!$O$1=2,'DDR4 Spec'!T28,IF('DDR4 Config'!$O$1=3,'DDR4 Spec'!AE28,'DDR4 Spec'!#REF!)))</f>
        <v>0</v>
      </c>
      <c r="J91" s="51">
        <f>IF('DDR4 Config'!$O$1=1,'DDR4 Spec'!J28,IF('DDR4 Config'!$O$1=2,'DDR4 Spec'!U28,IF('DDR4 Config'!$O$1=3,'DDR4 Spec'!AF28,'DDR4 Spec'!#REF!)))</f>
        <v>0</v>
      </c>
      <c r="K91" s="51">
        <f>IF('DDR4 Config'!$O$1=1,'DDR4 Spec'!K28,IF('DDR4 Config'!$O$1=2,'DDR4 Spec'!V28,IF('DDR4 Config'!$O$1=3,'DDR4 Spec'!AG28,'DDR4 Spec'!#REF!)))</f>
        <v>0</v>
      </c>
      <c r="L91" s="51">
        <f>IF('DDR4 Config'!$O$1=1,'DDR4 Spec'!L28,IF('DDR4 Config'!$O$1=2,'DDR4 Spec'!W28,IF('DDR4 Config'!$O$1=3,'DDR4 Spec'!AH28,'DDR4 Spec'!#REF!)))</f>
        <v>0</v>
      </c>
      <c r="M91" s="51">
        <f>IF('DDR4 Config'!$O$1=1,'DDR4 Spec'!M28,IF('DDR4 Config'!$O$1=2,'DDR4 Spec'!X28,IF('DDR4 Config'!$O$1=3,'DDR4 Spec'!AI28,'DDR4 Spec'!#REF!)))</f>
        <v>0</v>
      </c>
      <c r="N91" s="51">
        <f>IF('DDR4 Config'!$O$1=1,'DDR4 Spec'!N28,IF('DDR4 Config'!$O$1=2,'DDR4 Spec'!Y28,IF('DDR4 Config'!$O$1=3,'DDR4 Spec'!AJ28,'DDR4 Spec'!#REF!)))</f>
        <v>0</v>
      </c>
      <c r="O91" s="256">
        <f>HLOOKUP($O$70,$E$70:$N$129,22)</f>
        <v>0</v>
      </c>
      <c r="P91" s="51"/>
      <c r="Q91" s="51"/>
      <c r="R91" s="51"/>
      <c r="S91" s="51"/>
      <c r="T91" s="51"/>
      <c r="U91" s="51"/>
      <c r="V91" s="51"/>
      <c r="W91" s="51"/>
      <c r="X91" s="51"/>
      <c r="Y91" s="51"/>
      <c r="Z91" s="51"/>
      <c r="AA91" s="51"/>
      <c r="AB91" s="51"/>
      <c r="AC91" s="51"/>
      <c r="AD91" s="51"/>
      <c r="AE91" s="51"/>
      <c r="AF91" s="51"/>
      <c r="AG91" s="51"/>
      <c r="AH91" s="51"/>
      <c r="AI91" s="51"/>
      <c r="AJ91" s="51"/>
      <c r="AK91" s="51"/>
      <c r="AL91" s="32"/>
    </row>
    <row r="92" spans="2:38" ht="7.5" hidden="1" customHeight="1">
      <c r="B92" s="53"/>
      <c r="C92" s="54">
        <f t="shared" si="4"/>
        <v>85</v>
      </c>
      <c r="D92" s="451"/>
      <c r="E92" s="51">
        <f>IF('DDR4 Config'!$O$1=1,'DDR4 Spec'!E29,IF('DDR4 Config'!$O$1=2,'DDR4 Spec'!P29,IF('DDR4 Config'!$O$1=3,'DDR4 Spec'!AA29,'DDR4 Spec'!#REF!)))</f>
        <v>142</v>
      </c>
      <c r="F92" s="51">
        <f>IF('DDR4 Config'!$O$1=1,'DDR4 Spec'!F29,IF('DDR4 Config'!$O$1=2,'DDR4 Spec'!Q29,IF('DDR4 Config'!$O$1=3,'DDR4 Spec'!AB29,'DDR4 Spec'!#REF!)))</f>
        <v>0</v>
      </c>
      <c r="G92" s="51">
        <f>IF('DDR4 Config'!$O$1=1,'DDR4 Spec'!G29,IF('DDR4 Config'!$O$1=2,'DDR4 Spec'!R29,IF('DDR4 Config'!$O$1=3,'DDR4 Spec'!AC29,'DDR4 Spec'!#REF!)))</f>
        <v>0</v>
      </c>
      <c r="H92" s="51">
        <f>IF('DDR4 Config'!$O$1=1,'DDR4 Spec'!H29,IF('DDR4 Config'!$O$1=2,'DDR4 Spec'!S29,IF('DDR4 Config'!$O$1=3,'DDR4 Spec'!AD29,'DDR4 Spec'!#REF!)))</f>
        <v>0</v>
      </c>
      <c r="I92" s="51">
        <f>IF('DDR4 Config'!$O$1=1,'DDR4 Spec'!I29,IF('DDR4 Config'!$O$1=2,'DDR4 Spec'!T29,IF('DDR4 Config'!$O$1=3,'DDR4 Spec'!AE29,'DDR4 Spec'!#REF!)))</f>
        <v>0</v>
      </c>
      <c r="J92" s="51">
        <f>IF('DDR4 Config'!$O$1=1,'DDR4 Spec'!J29,IF('DDR4 Config'!$O$1=2,'DDR4 Spec'!U29,IF('DDR4 Config'!$O$1=3,'DDR4 Spec'!AF29,'DDR4 Spec'!#REF!)))</f>
        <v>0</v>
      </c>
      <c r="K92" s="51">
        <f>IF('DDR4 Config'!$O$1=1,'DDR4 Spec'!K29,IF('DDR4 Config'!$O$1=2,'DDR4 Spec'!V29,IF('DDR4 Config'!$O$1=3,'DDR4 Spec'!AG29,'DDR4 Spec'!#REF!)))</f>
        <v>0</v>
      </c>
      <c r="L92" s="51">
        <f>IF('DDR4 Config'!$O$1=1,'DDR4 Spec'!L29,IF('DDR4 Config'!$O$1=2,'DDR4 Spec'!W29,IF('DDR4 Config'!$O$1=3,'DDR4 Spec'!AH29,'DDR4 Spec'!#REF!)))</f>
        <v>0</v>
      </c>
      <c r="M92" s="51">
        <f>IF('DDR4 Config'!$O$1=1,'DDR4 Spec'!M29,IF('DDR4 Config'!$O$1=2,'DDR4 Spec'!X29,IF('DDR4 Config'!$O$1=3,'DDR4 Spec'!AI29,'DDR4 Spec'!#REF!)))</f>
        <v>0</v>
      </c>
      <c r="N92" s="51">
        <f>IF('DDR4 Config'!$O$1=1,'DDR4 Spec'!N29,IF('DDR4 Config'!$O$1=2,'DDR4 Spec'!Y29,IF('DDR4 Config'!$O$1=3,'DDR4 Spec'!AJ29,'DDR4 Spec'!#REF!)))</f>
        <v>0</v>
      </c>
      <c r="O92" s="256">
        <f>HLOOKUP($O$70,$E$70:$N$129,23)</f>
        <v>0</v>
      </c>
      <c r="P92" s="51"/>
      <c r="Q92" s="51"/>
      <c r="R92" s="51"/>
      <c r="S92" s="51"/>
      <c r="T92" s="51"/>
      <c r="U92" s="51"/>
      <c r="V92" s="51"/>
      <c r="W92" s="51"/>
      <c r="X92" s="51"/>
      <c r="Y92" s="51"/>
      <c r="Z92" s="51"/>
      <c r="AA92" s="51"/>
      <c r="AB92" s="51"/>
      <c r="AC92" s="51"/>
      <c r="AD92" s="51"/>
      <c r="AE92" s="51"/>
      <c r="AF92" s="51"/>
      <c r="AG92" s="51"/>
      <c r="AH92" s="51"/>
      <c r="AI92" s="51"/>
      <c r="AJ92" s="51"/>
      <c r="AK92" s="51"/>
      <c r="AL92" s="32"/>
    </row>
    <row r="93" spans="2:38" ht="7.5" hidden="1" customHeight="1">
      <c r="B93" s="53"/>
      <c r="C93" s="54">
        <f t="shared" si="4"/>
        <v>86</v>
      </c>
      <c r="D93" s="451"/>
      <c r="E93" s="51">
        <f>IF('DDR4 Config'!$O$1=1,'DDR4 Spec'!E30,IF('DDR4 Config'!$O$1=2,'DDR4 Spec'!P30,IF('DDR4 Config'!$O$1=3,'DDR4 Spec'!AA30,'DDR4 Spec'!#REF!)))</f>
        <v>142</v>
      </c>
      <c r="F93" s="51">
        <f>IF('DDR4 Config'!$O$1=1,'DDR4 Spec'!F30,IF('DDR4 Config'!$O$1=2,'DDR4 Spec'!Q30,IF('DDR4 Config'!$O$1=3,'DDR4 Spec'!AB30,'DDR4 Spec'!#REF!)))</f>
        <v>0</v>
      </c>
      <c r="G93" s="51">
        <f>IF('DDR4 Config'!$O$1=1,'DDR4 Spec'!G30,IF('DDR4 Config'!$O$1=2,'DDR4 Spec'!R30,IF('DDR4 Config'!$O$1=3,'DDR4 Spec'!AC30,'DDR4 Spec'!#REF!)))</f>
        <v>0</v>
      </c>
      <c r="H93" s="51">
        <f>IF('DDR4 Config'!$O$1=1,'DDR4 Spec'!H30,IF('DDR4 Config'!$O$1=2,'DDR4 Spec'!S30,IF('DDR4 Config'!$O$1=3,'DDR4 Spec'!AD30,'DDR4 Spec'!#REF!)))</f>
        <v>0</v>
      </c>
      <c r="I93" s="51">
        <f>IF('DDR4 Config'!$O$1=1,'DDR4 Spec'!I30,IF('DDR4 Config'!$O$1=2,'DDR4 Spec'!T30,IF('DDR4 Config'!$O$1=3,'DDR4 Spec'!AE30,'DDR4 Spec'!#REF!)))</f>
        <v>0</v>
      </c>
      <c r="J93" s="51">
        <f>IF('DDR4 Config'!$O$1=1,'DDR4 Spec'!J30,IF('DDR4 Config'!$O$1=2,'DDR4 Spec'!U30,IF('DDR4 Config'!$O$1=3,'DDR4 Spec'!AF30,'DDR4 Spec'!#REF!)))</f>
        <v>0</v>
      </c>
      <c r="K93" s="51">
        <f>IF('DDR4 Config'!$O$1=1,'DDR4 Spec'!K30,IF('DDR4 Config'!$O$1=2,'DDR4 Spec'!V30,IF('DDR4 Config'!$O$1=3,'DDR4 Spec'!AG30,'DDR4 Spec'!#REF!)))</f>
        <v>0</v>
      </c>
      <c r="L93" s="51">
        <f>IF('DDR4 Config'!$O$1=1,'DDR4 Spec'!L30,IF('DDR4 Config'!$O$1=2,'DDR4 Spec'!W30,IF('DDR4 Config'!$O$1=3,'DDR4 Spec'!AH30,'DDR4 Spec'!#REF!)))</f>
        <v>0</v>
      </c>
      <c r="M93" s="51">
        <f>IF('DDR4 Config'!$O$1=1,'DDR4 Spec'!M30,IF('DDR4 Config'!$O$1=2,'DDR4 Spec'!X30,IF('DDR4 Config'!$O$1=3,'DDR4 Spec'!AI30,'DDR4 Spec'!#REF!)))</f>
        <v>0</v>
      </c>
      <c r="N93" s="51">
        <f>IF('DDR4 Config'!$O$1=1,'DDR4 Spec'!N30,IF('DDR4 Config'!$O$1=2,'DDR4 Spec'!Y30,IF('DDR4 Config'!$O$1=3,'DDR4 Spec'!AJ30,'DDR4 Spec'!#REF!)))</f>
        <v>0</v>
      </c>
      <c r="O93" s="256">
        <f>HLOOKUP($O$70,$E$70:$N$129,24)</f>
        <v>0</v>
      </c>
      <c r="P93" s="51"/>
      <c r="Q93" s="51"/>
      <c r="R93" s="51"/>
      <c r="S93" s="51"/>
      <c r="T93" s="51"/>
      <c r="U93" s="51"/>
      <c r="V93" s="51"/>
      <c r="W93" s="51"/>
      <c r="X93" s="51"/>
      <c r="Y93" s="51"/>
      <c r="Z93" s="51"/>
      <c r="AA93" s="51"/>
      <c r="AB93" s="51"/>
      <c r="AC93" s="51"/>
      <c r="AD93" s="51"/>
      <c r="AE93" s="51"/>
      <c r="AF93" s="51"/>
      <c r="AG93" s="51"/>
      <c r="AH93" s="51"/>
      <c r="AI93" s="51"/>
      <c r="AJ93" s="51"/>
      <c r="AK93" s="51"/>
      <c r="AL93" s="32"/>
    </row>
    <row r="94" spans="2:38" ht="7.5" hidden="1" customHeight="1">
      <c r="B94" s="53"/>
      <c r="C94" s="54">
        <f t="shared" si="4"/>
        <v>87</v>
      </c>
      <c r="D94" s="451" t="s">
        <v>243</v>
      </c>
      <c r="E94" s="51">
        <f>IF('DDR4 Config'!$O$1=1,'DDR4 Spec'!E31,IF('DDR4 Config'!$O$1=2,'DDR4 Spec'!P31,IF('DDR4 Config'!$O$1=3,'DDR4 Spec'!AA31,'DDR4 Spec'!#REF!)))</f>
        <v>7</v>
      </c>
      <c r="F94" s="51">
        <f>IF('DDR4 Config'!$O$1=1,'DDR4 Spec'!F31,IF('DDR4 Config'!$O$1=2,'DDR4 Spec'!Q31,IF('DDR4 Config'!$O$1=3,'DDR4 Spec'!AB31,'DDR4 Spec'!#REF!)))</f>
        <v>0</v>
      </c>
      <c r="G94" s="51">
        <f>IF('DDR4 Config'!$O$1=1,'DDR4 Spec'!G31,IF('DDR4 Config'!$O$1=2,'DDR4 Spec'!R31,IF('DDR4 Config'!$O$1=3,'DDR4 Spec'!AC31,'DDR4 Spec'!#REF!)))</f>
        <v>0</v>
      </c>
      <c r="H94" s="51">
        <f>IF('DDR4 Config'!$O$1=1,'DDR4 Spec'!H31,IF('DDR4 Config'!$O$1=2,'DDR4 Spec'!S31,IF('DDR4 Config'!$O$1=3,'DDR4 Spec'!AD31,'DDR4 Spec'!#REF!)))</f>
        <v>0</v>
      </c>
      <c r="I94" s="51">
        <f>IF('DDR4 Config'!$O$1=1,'DDR4 Spec'!I31,IF('DDR4 Config'!$O$1=2,'DDR4 Spec'!T31,IF('DDR4 Config'!$O$1=3,'DDR4 Spec'!AE31,'DDR4 Spec'!#REF!)))</f>
        <v>0</v>
      </c>
      <c r="J94" s="51">
        <f>IF('DDR4 Config'!$O$1=1,'DDR4 Spec'!J31,IF('DDR4 Config'!$O$1=2,'DDR4 Spec'!U31,IF('DDR4 Config'!$O$1=3,'DDR4 Spec'!AF31,'DDR4 Spec'!#REF!)))</f>
        <v>0</v>
      </c>
      <c r="K94" s="51">
        <f>IF('DDR4 Config'!$O$1=1,'DDR4 Spec'!K31,IF('DDR4 Config'!$O$1=2,'DDR4 Spec'!V31,IF('DDR4 Config'!$O$1=3,'DDR4 Spec'!AG31,'DDR4 Spec'!#REF!)))</f>
        <v>0</v>
      </c>
      <c r="L94" s="51">
        <f>IF('DDR4 Config'!$O$1=1,'DDR4 Spec'!L31,IF('DDR4 Config'!$O$1=2,'DDR4 Spec'!W31,IF('DDR4 Config'!$O$1=3,'DDR4 Spec'!AH31,'DDR4 Spec'!#REF!)))</f>
        <v>0</v>
      </c>
      <c r="M94" s="51">
        <f>IF('DDR4 Config'!$O$1=1,'DDR4 Spec'!M31,IF('DDR4 Config'!$O$1=2,'DDR4 Spec'!X31,IF('DDR4 Config'!$O$1=3,'DDR4 Spec'!AI31,'DDR4 Spec'!#REF!)))</f>
        <v>0</v>
      </c>
      <c r="N94" s="51">
        <f>IF('DDR4 Config'!$O$1=1,'DDR4 Spec'!N31,IF('DDR4 Config'!$O$1=2,'DDR4 Spec'!Y31,IF('DDR4 Config'!$O$1=3,'DDR4 Spec'!AJ31,'DDR4 Spec'!#REF!)))</f>
        <v>0</v>
      </c>
      <c r="O94" s="256">
        <f>HLOOKUP($O$70,$E$70:$N$129,25)</f>
        <v>0</v>
      </c>
      <c r="P94" s="51"/>
      <c r="Q94" s="51"/>
      <c r="R94" s="51"/>
      <c r="S94" s="51"/>
      <c r="T94" s="51"/>
      <c r="U94" s="51"/>
      <c r="V94" s="51"/>
      <c r="W94" s="51"/>
      <c r="X94" s="51"/>
      <c r="Y94" s="51"/>
      <c r="Z94" s="51"/>
      <c r="AA94" s="51"/>
      <c r="AB94" s="51"/>
      <c r="AC94" s="51"/>
      <c r="AD94" s="51"/>
      <c r="AE94" s="51"/>
      <c r="AF94" s="51"/>
      <c r="AG94" s="51"/>
      <c r="AH94" s="51"/>
      <c r="AI94" s="51"/>
      <c r="AJ94" s="51"/>
      <c r="AK94" s="51"/>
      <c r="AL94" s="32"/>
    </row>
    <row r="95" spans="2:38" ht="7.5" hidden="1" customHeight="1">
      <c r="B95" s="53"/>
      <c r="C95" s="54">
        <f t="shared" si="4"/>
        <v>88</v>
      </c>
      <c r="D95" s="451"/>
      <c r="E95" s="51">
        <f>IF('DDR4 Config'!$O$1=1,'DDR4 Spec'!E32,IF('DDR4 Config'!$O$1=2,'DDR4 Spec'!P32,IF('DDR4 Config'!$O$1=3,'DDR4 Spec'!AA32,'DDR4 Spec'!#REF!)))</f>
        <v>7</v>
      </c>
      <c r="F95" s="51">
        <f>IF('DDR4 Config'!$O$1=1,'DDR4 Spec'!F32,IF('DDR4 Config'!$O$1=2,'DDR4 Spec'!Q32,IF('DDR4 Config'!$O$1=3,'DDR4 Spec'!AB32,'DDR4 Spec'!#REF!)))</f>
        <v>0</v>
      </c>
      <c r="G95" s="51">
        <f>IF('DDR4 Config'!$O$1=1,'DDR4 Spec'!G32,IF('DDR4 Config'!$O$1=2,'DDR4 Spec'!R32,IF('DDR4 Config'!$O$1=3,'DDR4 Spec'!AC32,'DDR4 Spec'!#REF!)))</f>
        <v>0</v>
      </c>
      <c r="H95" s="51">
        <f>IF('DDR4 Config'!$O$1=1,'DDR4 Spec'!H32,IF('DDR4 Config'!$O$1=2,'DDR4 Spec'!S32,IF('DDR4 Config'!$O$1=3,'DDR4 Spec'!AD32,'DDR4 Spec'!#REF!)))</f>
        <v>0</v>
      </c>
      <c r="I95" s="51">
        <f>IF('DDR4 Config'!$O$1=1,'DDR4 Spec'!I32,IF('DDR4 Config'!$O$1=2,'DDR4 Spec'!T32,IF('DDR4 Config'!$O$1=3,'DDR4 Spec'!AE32,'DDR4 Spec'!#REF!)))</f>
        <v>0</v>
      </c>
      <c r="J95" s="51">
        <f>IF('DDR4 Config'!$O$1=1,'DDR4 Spec'!J32,IF('DDR4 Config'!$O$1=2,'DDR4 Spec'!U32,IF('DDR4 Config'!$O$1=3,'DDR4 Spec'!AF32,'DDR4 Spec'!#REF!)))</f>
        <v>0</v>
      </c>
      <c r="K95" s="51">
        <f>IF('DDR4 Config'!$O$1=1,'DDR4 Spec'!K32,IF('DDR4 Config'!$O$1=2,'DDR4 Spec'!V32,IF('DDR4 Config'!$O$1=3,'DDR4 Spec'!AG32,'DDR4 Spec'!#REF!)))</f>
        <v>0</v>
      </c>
      <c r="L95" s="51">
        <f>IF('DDR4 Config'!$O$1=1,'DDR4 Spec'!L32,IF('DDR4 Config'!$O$1=2,'DDR4 Spec'!W32,IF('DDR4 Config'!$O$1=3,'DDR4 Spec'!AH32,'DDR4 Spec'!#REF!)))</f>
        <v>0</v>
      </c>
      <c r="M95" s="51">
        <f>IF('DDR4 Config'!$O$1=1,'DDR4 Spec'!M32,IF('DDR4 Config'!$O$1=2,'DDR4 Spec'!X32,IF('DDR4 Config'!$O$1=3,'DDR4 Spec'!AI32,'DDR4 Spec'!#REF!)))</f>
        <v>0</v>
      </c>
      <c r="N95" s="51">
        <f>IF('DDR4 Config'!$O$1=1,'DDR4 Spec'!N32,IF('DDR4 Config'!$O$1=2,'DDR4 Spec'!Y32,IF('DDR4 Config'!$O$1=3,'DDR4 Spec'!AJ32,'DDR4 Spec'!#REF!)))</f>
        <v>0</v>
      </c>
      <c r="O95" s="256">
        <f>HLOOKUP($O$70,$E$70:$N$129,26)</f>
        <v>0</v>
      </c>
      <c r="P95" s="51"/>
      <c r="Q95" s="51"/>
      <c r="R95" s="51"/>
      <c r="S95" s="51"/>
      <c r="T95" s="51"/>
      <c r="U95" s="51"/>
      <c r="V95" s="51"/>
      <c r="W95" s="51"/>
      <c r="X95" s="51"/>
      <c r="Y95" s="51"/>
      <c r="Z95" s="51"/>
      <c r="AA95" s="51"/>
      <c r="AB95" s="51"/>
      <c r="AC95" s="51"/>
      <c r="AD95" s="51"/>
      <c r="AE95" s="51"/>
      <c r="AF95" s="51"/>
      <c r="AG95" s="51"/>
      <c r="AH95" s="51"/>
      <c r="AI95" s="51"/>
      <c r="AJ95" s="51"/>
      <c r="AK95" s="51"/>
      <c r="AL95" s="32"/>
    </row>
    <row r="96" spans="2:38" ht="7.5" hidden="1" customHeight="1">
      <c r="B96" s="53"/>
      <c r="C96" s="54">
        <f t="shared" si="4"/>
        <v>89</v>
      </c>
      <c r="D96" s="451"/>
      <c r="E96" s="51">
        <f>IF('DDR4 Config'!$O$1=1,'DDR4 Spec'!E33,IF('DDR4 Config'!$O$1=2,'DDR4 Spec'!P33,IF('DDR4 Config'!$O$1=3,'DDR4 Spec'!AA33,'DDR4 Spec'!#REF!)))</f>
        <v>7</v>
      </c>
      <c r="F96" s="51">
        <f>IF('DDR4 Config'!$O$1=1,'DDR4 Spec'!F33,IF('DDR4 Config'!$O$1=2,'DDR4 Spec'!Q33,IF('DDR4 Config'!$O$1=3,'DDR4 Spec'!AB33,'DDR4 Spec'!#REF!)))</f>
        <v>0</v>
      </c>
      <c r="G96" s="51">
        <f>IF('DDR4 Config'!$O$1=1,'DDR4 Spec'!G33,IF('DDR4 Config'!$O$1=2,'DDR4 Spec'!R33,IF('DDR4 Config'!$O$1=3,'DDR4 Spec'!AC33,'DDR4 Spec'!#REF!)))</f>
        <v>0</v>
      </c>
      <c r="H96" s="51">
        <f>IF('DDR4 Config'!$O$1=1,'DDR4 Spec'!H33,IF('DDR4 Config'!$O$1=2,'DDR4 Spec'!S33,IF('DDR4 Config'!$O$1=3,'DDR4 Spec'!AD33,'DDR4 Spec'!#REF!)))</f>
        <v>0</v>
      </c>
      <c r="I96" s="51">
        <f>IF('DDR4 Config'!$O$1=1,'DDR4 Spec'!I33,IF('DDR4 Config'!$O$1=2,'DDR4 Spec'!T33,IF('DDR4 Config'!$O$1=3,'DDR4 Spec'!AE33,'DDR4 Spec'!#REF!)))</f>
        <v>0</v>
      </c>
      <c r="J96" s="51">
        <f>IF('DDR4 Config'!$O$1=1,'DDR4 Spec'!J33,IF('DDR4 Config'!$O$1=2,'DDR4 Spec'!U33,IF('DDR4 Config'!$O$1=3,'DDR4 Spec'!AF33,'DDR4 Spec'!#REF!)))</f>
        <v>0</v>
      </c>
      <c r="K96" s="51">
        <f>IF('DDR4 Config'!$O$1=1,'DDR4 Spec'!K33,IF('DDR4 Config'!$O$1=2,'DDR4 Spec'!V33,IF('DDR4 Config'!$O$1=3,'DDR4 Spec'!AG33,'DDR4 Spec'!#REF!)))</f>
        <v>0</v>
      </c>
      <c r="L96" s="51">
        <f>IF('DDR4 Config'!$O$1=1,'DDR4 Spec'!L33,IF('DDR4 Config'!$O$1=2,'DDR4 Spec'!W33,IF('DDR4 Config'!$O$1=3,'DDR4 Spec'!AH33,'DDR4 Spec'!#REF!)))</f>
        <v>0</v>
      </c>
      <c r="M96" s="51">
        <f>IF('DDR4 Config'!$O$1=1,'DDR4 Spec'!M33,IF('DDR4 Config'!$O$1=2,'DDR4 Spec'!X33,IF('DDR4 Config'!$O$1=3,'DDR4 Spec'!AI33,'DDR4 Spec'!#REF!)))</f>
        <v>0</v>
      </c>
      <c r="N96" s="51">
        <f>IF('DDR4 Config'!$O$1=1,'DDR4 Spec'!N33,IF('DDR4 Config'!$O$1=2,'DDR4 Spec'!Y33,IF('DDR4 Config'!$O$1=3,'DDR4 Spec'!AJ33,'DDR4 Spec'!#REF!)))</f>
        <v>0</v>
      </c>
      <c r="O96" s="256">
        <f>HLOOKUP($O$70,$E$70:$N$129,27)</f>
        <v>0</v>
      </c>
      <c r="P96" s="51"/>
      <c r="Q96" s="51"/>
      <c r="R96" s="51"/>
      <c r="S96" s="51"/>
      <c r="T96" s="51"/>
      <c r="U96" s="51"/>
      <c r="V96" s="51"/>
      <c r="W96" s="51"/>
      <c r="X96" s="51"/>
      <c r="Y96" s="51"/>
      <c r="Z96" s="51"/>
      <c r="AA96" s="51"/>
      <c r="AB96" s="51"/>
      <c r="AC96" s="51"/>
      <c r="AD96" s="51"/>
      <c r="AE96" s="51"/>
      <c r="AF96" s="51"/>
      <c r="AG96" s="51"/>
      <c r="AH96" s="51"/>
      <c r="AI96" s="51"/>
      <c r="AJ96" s="51"/>
      <c r="AK96" s="51"/>
      <c r="AL96" s="32"/>
    </row>
    <row r="97" spans="2:38" ht="7.5" hidden="1" customHeight="1">
      <c r="B97" s="53"/>
      <c r="C97" s="54">
        <f t="shared" si="4"/>
        <v>90</v>
      </c>
      <c r="D97" s="451" t="s">
        <v>161</v>
      </c>
      <c r="E97" s="51">
        <f>IF('DDR4 Config'!$O$1=1,'DDR4 Spec'!E34,IF('DDR4 Config'!$O$1=2,'DDR4 Spec'!P34,IF('DDR4 Config'!$O$1=3,'DDR4 Spec'!AA34,'DDR4 Spec'!#REF!)))</f>
        <v>318</v>
      </c>
      <c r="F97" s="51">
        <f>IF('DDR4 Config'!$O$1=1,'DDR4 Spec'!F34,IF('DDR4 Config'!$O$1=2,'DDR4 Spec'!Q34,IF('DDR4 Config'!$O$1=3,'DDR4 Spec'!AB34,'DDR4 Spec'!#REF!)))</f>
        <v>0</v>
      </c>
      <c r="G97" s="51">
        <f>IF('DDR4 Config'!$O$1=1,'DDR4 Spec'!G34,IF('DDR4 Config'!$O$1=2,'DDR4 Spec'!R34,IF('DDR4 Config'!$O$1=3,'DDR4 Spec'!AC34,'DDR4 Spec'!#REF!)))</f>
        <v>0</v>
      </c>
      <c r="H97" s="51">
        <f>IF('DDR4 Config'!$O$1=1,'DDR4 Spec'!H34,IF('DDR4 Config'!$O$1=2,'DDR4 Spec'!S34,IF('DDR4 Config'!$O$1=3,'DDR4 Spec'!AD34,'DDR4 Spec'!#REF!)))</f>
        <v>0</v>
      </c>
      <c r="I97" s="51">
        <f>IF('DDR4 Config'!$O$1=1,'DDR4 Spec'!I34,IF('DDR4 Config'!$O$1=2,'DDR4 Spec'!T34,IF('DDR4 Config'!$O$1=3,'DDR4 Spec'!AE34,'DDR4 Spec'!#REF!)))</f>
        <v>0</v>
      </c>
      <c r="J97" s="51">
        <f>IF('DDR4 Config'!$O$1=1,'DDR4 Spec'!J34,IF('DDR4 Config'!$O$1=2,'DDR4 Spec'!U34,IF('DDR4 Config'!$O$1=3,'DDR4 Spec'!AF34,'DDR4 Spec'!#REF!)))</f>
        <v>0</v>
      </c>
      <c r="K97" s="51">
        <f>IF('DDR4 Config'!$O$1=1,'DDR4 Spec'!K34,IF('DDR4 Config'!$O$1=2,'DDR4 Spec'!V34,IF('DDR4 Config'!$O$1=3,'DDR4 Spec'!AG34,'DDR4 Spec'!#REF!)))</f>
        <v>0</v>
      </c>
      <c r="L97" s="51">
        <f>IF('DDR4 Config'!$O$1=1,'DDR4 Spec'!L34,IF('DDR4 Config'!$O$1=2,'DDR4 Spec'!W34,IF('DDR4 Config'!$O$1=3,'DDR4 Spec'!AH34,'DDR4 Spec'!#REF!)))</f>
        <v>0</v>
      </c>
      <c r="M97" s="51">
        <f>IF('DDR4 Config'!$O$1=1,'DDR4 Spec'!M34,IF('DDR4 Config'!$O$1=2,'DDR4 Spec'!X34,IF('DDR4 Config'!$O$1=3,'DDR4 Spec'!AI34,'DDR4 Spec'!#REF!)))</f>
        <v>0</v>
      </c>
      <c r="N97" s="51">
        <f>IF('DDR4 Config'!$O$1=1,'DDR4 Spec'!N34,IF('DDR4 Config'!$O$1=2,'DDR4 Spec'!Y34,IF('DDR4 Config'!$O$1=3,'DDR4 Spec'!AJ34,'DDR4 Spec'!#REF!)))</f>
        <v>0</v>
      </c>
      <c r="O97" s="256">
        <f>HLOOKUP($O$70,$E$70:$N$129,28)</f>
        <v>0</v>
      </c>
      <c r="P97" s="51"/>
      <c r="Q97" s="51"/>
      <c r="R97" s="51"/>
      <c r="S97" s="51"/>
      <c r="T97" s="51"/>
      <c r="U97" s="51"/>
      <c r="V97" s="51"/>
      <c r="W97" s="51"/>
      <c r="X97" s="51"/>
      <c r="Y97" s="51"/>
      <c r="Z97" s="51"/>
      <c r="AA97" s="51"/>
      <c r="AB97" s="51"/>
      <c r="AC97" s="51"/>
      <c r="AD97" s="51"/>
      <c r="AE97" s="51"/>
      <c r="AF97" s="51"/>
      <c r="AG97" s="51"/>
      <c r="AH97" s="51"/>
      <c r="AI97" s="51"/>
      <c r="AJ97" s="51"/>
      <c r="AK97" s="51"/>
      <c r="AL97" s="32"/>
    </row>
    <row r="98" spans="2:38" ht="7.5" hidden="1" customHeight="1">
      <c r="B98" s="53"/>
      <c r="C98" s="54">
        <f t="shared" si="4"/>
        <v>91</v>
      </c>
      <c r="D98" s="451"/>
      <c r="E98" s="51">
        <f>IF('DDR4 Config'!$O$1=1,'DDR4 Spec'!E35,IF('DDR4 Config'!$O$1=2,'DDR4 Spec'!P35,IF('DDR4 Config'!$O$1=3,'DDR4 Spec'!AA35,'DDR4 Spec'!#REF!)))</f>
        <v>377</v>
      </c>
      <c r="F98" s="51">
        <f>IF('DDR4 Config'!$O$1=1,'DDR4 Spec'!F35,IF('DDR4 Config'!$O$1=2,'DDR4 Spec'!Q35,IF('DDR4 Config'!$O$1=3,'DDR4 Spec'!AB35,'DDR4 Spec'!#REF!)))</f>
        <v>0</v>
      </c>
      <c r="G98" s="51">
        <f>IF('DDR4 Config'!$O$1=1,'DDR4 Spec'!G35,IF('DDR4 Config'!$O$1=2,'DDR4 Spec'!R35,IF('DDR4 Config'!$O$1=3,'DDR4 Spec'!AC35,'DDR4 Spec'!#REF!)))</f>
        <v>0</v>
      </c>
      <c r="H98" s="51">
        <f>IF('DDR4 Config'!$O$1=1,'DDR4 Spec'!H35,IF('DDR4 Config'!$O$1=2,'DDR4 Spec'!S35,IF('DDR4 Config'!$O$1=3,'DDR4 Spec'!AD35,'DDR4 Spec'!#REF!)))</f>
        <v>0</v>
      </c>
      <c r="I98" s="51">
        <f>IF('DDR4 Config'!$O$1=1,'DDR4 Spec'!I35,IF('DDR4 Config'!$O$1=2,'DDR4 Spec'!T35,IF('DDR4 Config'!$O$1=3,'DDR4 Spec'!AE35,'DDR4 Spec'!#REF!)))</f>
        <v>0</v>
      </c>
      <c r="J98" s="51">
        <f>IF('DDR4 Config'!$O$1=1,'DDR4 Spec'!J35,IF('DDR4 Config'!$O$1=2,'DDR4 Spec'!U35,IF('DDR4 Config'!$O$1=3,'DDR4 Spec'!AF35,'DDR4 Spec'!#REF!)))</f>
        <v>0</v>
      </c>
      <c r="K98" s="51">
        <f>IF('DDR4 Config'!$O$1=1,'DDR4 Spec'!K35,IF('DDR4 Config'!$O$1=2,'DDR4 Spec'!V35,IF('DDR4 Config'!$O$1=3,'DDR4 Spec'!AG35,'DDR4 Spec'!#REF!)))</f>
        <v>0</v>
      </c>
      <c r="L98" s="51">
        <f>IF('DDR4 Config'!$O$1=1,'DDR4 Spec'!L35,IF('DDR4 Config'!$O$1=2,'DDR4 Spec'!W35,IF('DDR4 Config'!$O$1=3,'DDR4 Spec'!AH35,'DDR4 Spec'!#REF!)))</f>
        <v>0</v>
      </c>
      <c r="M98" s="51">
        <f>IF('DDR4 Config'!$O$1=1,'DDR4 Spec'!M35,IF('DDR4 Config'!$O$1=2,'DDR4 Spec'!X35,IF('DDR4 Config'!$O$1=3,'DDR4 Spec'!AI35,'DDR4 Spec'!#REF!)))</f>
        <v>0</v>
      </c>
      <c r="N98" s="51">
        <f>IF('DDR4 Config'!$O$1=1,'DDR4 Spec'!N35,IF('DDR4 Config'!$O$1=2,'DDR4 Spec'!Y35,IF('DDR4 Config'!$O$1=3,'DDR4 Spec'!AJ35,'DDR4 Spec'!#REF!)))</f>
        <v>0</v>
      </c>
      <c r="O98" s="256">
        <f>HLOOKUP($O$70,$E$70:$N$129,29)</f>
        <v>0</v>
      </c>
      <c r="P98" s="51"/>
      <c r="Q98" s="51"/>
      <c r="R98" s="51"/>
      <c r="S98" s="51"/>
      <c r="T98" s="51"/>
      <c r="U98" s="51"/>
      <c r="V98" s="51"/>
      <c r="W98" s="51"/>
      <c r="X98" s="51"/>
      <c r="Y98" s="51"/>
      <c r="Z98" s="51"/>
      <c r="AA98" s="51"/>
      <c r="AB98" s="51"/>
      <c r="AC98" s="51"/>
      <c r="AD98" s="51"/>
      <c r="AE98" s="51"/>
      <c r="AF98" s="51"/>
      <c r="AG98" s="51"/>
      <c r="AH98" s="51"/>
      <c r="AI98" s="51"/>
      <c r="AJ98" s="51"/>
      <c r="AK98" s="51"/>
      <c r="AL98" s="32"/>
    </row>
    <row r="99" spans="2:38" ht="7.5" hidden="1" customHeight="1">
      <c r="B99" s="53"/>
      <c r="C99" s="54">
        <f t="shared" si="4"/>
        <v>92</v>
      </c>
      <c r="D99" s="451"/>
      <c r="E99" s="51">
        <f>IF('DDR4 Config'!$O$1=1,'DDR4 Spec'!E36,IF('DDR4 Config'!$O$1=2,'DDR4 Spec'!P36,IF('DDR4 Config'!$O$1=3,'DDR4 Spec'!AA36,'DDR4 Spec'!#REF!)))</f>
        <v>530</v>
      </c>
      <c r="F99" s="51">
        <f>IF('DDR4 Config'!$O$1=1,'DDR4 Spec'!F36,IF('DDR4 Config'!$O$1=2,'DDR4 Spec'!Q36,IF('DDR4 Config'!$O$1=3,'DDR4 Spec'!AB36,'DDR4 Spec'!#REF!)))</f>
        <v>0</v>
      </c>
      <c r="G99" s="51">
        <f>IF('DDR4 Config'!$O$1=1,'DDR4 Spec'!G36,IF('DDR4 Config'!$O$1=2,'DDR4 Spec'!R36,IF('DDR4 Config'!$O$1=3,'DDR4 Spec'!AC36,'DDR4 Spec'!#REF!)))</f>
        <v>0</v>
      </c>
      <c r="H99" s="51">
        <f>IF('DDR4 Config'!$O$1=1,'DDR4 Spec'!H36,IF('DDR4 Config'!$O$1=2,'DDR4 Spec'!S36,IF('DDR4 Config'!$O$1=3,'DDR4 Spec'!AD36,'DDR4 Spec'!#REF!)))</f>
        <v>0</v>
      </c>
      <c r="I99" s="51">
        <f>IF('DDR4 Config'!$O$1=1,'DDR4 Spec'!I36,IF('DDR4 Config'!$O$1=2,'DDR4 Spec'!T36,IF('DDR4 Config'!$O$1=3,'DDR4 Spec'!AE36,'DDR4 Spec'!#REF!)))</f>
        <v>0</v>
      </c>
      <c r="J99" s="51">
        <f>IF('DDR4 Config'!$O$1=1,'DDR4 Spec'!J36,IF('DDR4 Config'!$O$1=2,'DDR4 Spec'!U36,IF('DDR4 Config'!$O$1=3,'DDR4 Spec'!AF36,'DDR4 Spec'!#REF!)))</f>
        <v>0</v>
      </c>
      <c r="K99" s="51">
        <f>IF('DDR4 Config'!$O$1=1,'DDR4 Spec'!K36,IF('DDR4 Config'!$O$1=2,'DDR4 Spec'!V36,IF('DDR4 Config'!$O$1=3,'DDR4 Spec'!AG36,'DDR4 Spec'!#REF!)))</f>
        <v>0</v>
      </c>
      <c r="L99" s="51">
        <f>IF('DDR4 Config'!$O$1=1,'DDR4 Spec'!L36,IF('DDR4 Config'!$O$1=2,'DDR4 Spec'!W36,IF('DDR4 Config'!$O$1=3,'DDR4 Spec'!AH36,'DDR4 Spec'!#REF!)))</f>
        <v>0</v>
      </c>
      <c r="M99" s="51">
        <f>IF('DDR4 Config'!$O$1=1,'DDR4 Spec'!M36,IF('DDR4 Config'!$O$1=2,'DDR4 Spec'!X36,IF('DDR4 Config'!$O$1=3,'DDR4 Spec'!AI36,'DDR4 Spec'!#REF!)))</f>
        <v>0</v>
      </c>
      <c r="N99" s="51">
        <f>IF('DDR4 Config'!$O$1=1,'DDR4 Spec'!N36,IF('DDR4 Config'!$O$1=2,'DDR4 Spec'!Y36,IF('DDR4 Config'!$O$1=3,'DDR4 Spec'!AJ36,'DDR4 Spec'!#REF!)))</f>
        <v>0</v>
      </c>
      <c r="O99" s="256">
        <f>HLOOKUP($O$70,$E$70:$N$129,30)</f>
        <v>0</v>
      </c>
      <c r="P99" s="51"/>
      <c r="Q99" s="51"/>
      <c r="R99" s="51"/>
      <c r="S99" s="51"/>
      <c r="T99" s="51"/>
      <c r="U99" s="51"/>
      <c r="V99" s="51"/>
      <c r="W99" s="51"/>
      <c r="X99" s="51"/>
      <c r="Y99" s="51"/>
      <c r="Z99" s="51"/>
      <c r="AA99" s="51"/>
      <c r="AB99" s="51"/>
      <c r="AC99" s="51"/>
      <c r="AD99" s="51"/>
      <c r="AE99" s="51"/>
      <c r="AF99" s="51"/>
      <c r="AG99" s="51"/>
      <c r="AH99" s="51"/>
      <c r="AI99" s="51"/>
      <c r="AJ99" s="51"/>
      <c r="AK99" s="51"/>
      <c r="AL99" s="32"/>
    </row>
    <row r="100" spans="2:38" ht="7.5" hidden="1" customHeight="1">
      <c r="B100" s="53"/>
      <c r="C100" s="54">
        <f t="shared" ref="C100:C102" si="5">C99+1</f>
        <v>93</v>
      </c>
      <c r="D100" s="451" t="s">
        <v>333</v>
      </c>
      <c r="E100" s="51">
        <f>IF('DDR4 Config'!$O$1=1,'DDR4 Spec'!E37,IF('DDR4 Config'!$O$1=2,'DDR4 Spec'!P37,IF('DDR4 Config'!$O$1=3,'DDR4 Spec'!AA37,'DDR4 Spec'!#REF!)))</f>
        <v>9</v>
      </c>
      <c r="F100" s="51">
        <f>IF('DDR4 Config'!$O$1=1,'DDR4 Spec'!F37,IF('DDR4 Config'!$O$1=2,'DDR4 Spec'!Q37,IF('DDR4 Config'!$O$1=3,'DDR4 Spec'!AB37,'DDR4 Spec'!#REF!)))</f>
        <v>0</v>
      </c>
      <c r="G100" s="51">
        <f>IF('DDR4 Config'!$O$1=1,'DDR4 Spec'!G37,IF('DDR4 Config'!$O$1=2,'DDR4 Spec'!R37,IF('DDR4 Config'!$O$1=3,'DDR4 Spec'!AC37,'DDR4 Spec'!#REF!)))</f>
        <v>0</v>
      </c>
      <c r="H100" s="51">
        <f>IF('DDR4 Config'!$O$1=1,'DDR4 Spec'!H37,IF('DDR4 Config'!$O$1=2,'DDR4 Spec'!S37,IF('DDR4 Config'!$O$1=3,'DDR4 Spec'!AD37,'DDR4 Spec'!#REF!)))</f>
        <v>0</v>
      </c>
      <c r="I100" s="51">
        <f>IF('DDR4 Config'!$O$1=1,'DDR4 Spec'!I37,IF('DDR4 Config'!$O$1=2,'DDR4 Spec'!T37,IF('DDR4 Config'!$O$1=3,'DDR4 Spec'!AE37,'DDR4 Spec'!#REF!)))</f>
        <v>0</v>
      </c>
      <c r="J100" s="51">
        <f>IF('DDR4 Config'!$O$1=1,'DDR4 Spec'!J37,IF('DDR4 Config'!$O$1=2,'DDR4 Spec'!U37,IF('DDR4 Config'!$O$1=3,'DDR4 Spec'!AF37,'DDR4 Spec'!#REF!)))</f>
        <v>0</v>
      </c>
      <c r="K100" s="51">
        <f>IF('DDR4 Config'!$O$1=1,'DDR4 Spec'!K37,IF('DDR4 Config'!$O$1=2,'DDR4 Spec'!V37,IF('DDR4 Config'!$O$1=3,'DDR4 Spec'!AG37,'DDR4 Spec'!#REF!)))</f>
        <v>0</v>
      </c>
      <c r="L100" s="51">
        <f>IF('DDR4 Config'!$O$1=1,'DDR4 Spec'!L37,IF('DDR4 Config'!$O$1=2,'DDR4 Spec'!W37,IF('DDR4 Config'!$O$1=3,'DDR4 Spec'!AH37,'DDR4 Spec'!#REF!)))</f>
        <v>0</v>
      </c>
      <c r="M100" s="51">
        <f>IF('DDR4 Config'!$O$1=1,'DDR4 Spec'!M37,IF('DDR4 Config'!$O$1=2,'DDR4 Spec'!X37,IF('DDR4 Config'!$O$1=3,'DDR4 Spec'!AI37,'DDR4 Spec'!#REF!)))</f>
        <v>0</v>
      </c>
      <c r="N100" s="51">
        <f>IF('DDR4 Config'!$O$1=1,'DDR4 Spec'!N37,IF('DDR4 Config'!$O$1=2,'DDR4 Spec'!Y37,IF('DDR4 Config'!$O$1=3,'DDR4 Spec'!AJ37,'DDR4 Spec'!#REF!)))</f>
        <v>0</v>
      </c>
      <c r="O100" s="256">
        <f>HLOOKUP($O$70,$E$70:$N$129,31)</f>
        <v>0</v>
      </c>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32"/>
    </row>
    <row r="101" spans="2:38" ht="7.5" hidden="1" customHeight="1">
      <c r="B101" s="53"/>
      <c r="C101" s="54">
        <f t="shared" si="5"/>
        <v>94</v>
      </c>
      <c r="D101" s="451"/>
      <c r="E101" s="51">
        <f>IF('DDR4 Config'!$O$1=1,'DDR4 Spec'!E38,IF('DDR4 Config'!$O$1=2,'DDR4 Spec'!P38,IF('DDR4 Config'!$O$1=3,'DDR4 Spec'!AA38,'DDR4 Spec'!#REF!)))</f>
        <v>9</v>
      </c>
      <c r="F101" s="51">
        <f>IF('DDR4 Config'!$O$1=1,'DDR4 Spec'!F38,IF('DDR4 Config'!$O$1=2,'DDR4 Spec'!Q38,IF('DDR4 Config'!$O$1=3,'DDR4 Spec'!AB38,'DDR4 Spec'!#REF!)))</f>
        <v>0</v>
      </c>
      <c r="G101" s="51">
        <f>IF('DDR4 Config'!$O$1=1,'DDR4 Spec'!G38,IF('DDR4 Config'!$O$1=2,'DDR4 Spec'!R38,IF('DDR4 Config'!$O$1=3,'DDR4 Spec'!AC38,'DDR4 Spec'!#REF!)))</f>
        <v>0</v>
      </c>
      <c r="H101" s="51">
        <f>IF('DDR4 Config'!$O$1=1,'DDR4 Spec'!H38,IF('DDR4 Config'!$O$1=2,'DDR4 Spec'!S38,IF('DDR4 Config'!$O$1=3,'DDR4 Spec'!AD38,'DDR4 Spec'!#REF!)))</f>
        <v>0</v>
      </c>
      <c r="I101" s="51">
        <f>IF('DDR4 Config'!$O$1=1,'DDR4 Spec'!I38,IF('DDR4 Config'!$O$1=2,'DDR4 Spec'!T38,IF('DDR4 Config'!$O$1=3,'DDR4 Spec'!AE38,'DDR4 Spec'!#REF!)))</f>
        <v>0</v>
      </c>
      <c r="J101" s="51">
        <f>IF('DDR4 Config'!$O$1=1,'DDR4 Spec'!J38,IF('DDR4 Config'!$O$1=2,'DDR4 Spec'!U38,IF('DDR4 Config'!$O$1=3,'DDR4 Spec'!AF38,'DDR4 Spec'!#REF!)))</f>
        <v>0</v>
      </c>
      <c r="K101" s="51">
        <f>IF('DDR4 Config'!$O$1=1,'DDR4 Spec'!K38,IF('DDR4 Config'!$O$1=2,'DDR4 Spec'!V38,IF('DDR4 Config'!$O$1=3,'DDR4 Spec'!AG38,'DDR4 Spec'!#REF!)))</f>
        <v>0</v>
      </c>
      <c r="L101" s="51">
        <f>IF('DDR4 Config'!$O$1=1,'DDR4 Spec'!L38,IF('DDR4 Config'!$O$1=2,'DDR4 Spec'!W38,IF('DDR4 Config'!$O$1=3,'DDR4 Spec'!AH38,'DDR4 Spec'!#REF!)))</f>
        <v>0</v>
      </c>
      <c r="M101" s="51">
        <f>IF('DDR4 Config'!$O$1=1,'DDR4 Spec'!M38,IF('DDR4 Config'!$O$1=2,'DDR4 Spec'!X38,IF('DDR4 Config'!$O$1=3,'DDR4 Spec'!AI38,'DDR4 Spec'!#REF!)))</f>
        <v>0</v>
      </c>
      <c r="N101" s="51">
        <f>IF('DDR4 Config'!$O$1=1,'DDR4 Spec'!N38,IF('DDR4 Config'!$O$1=2,'DDR4 Spec'!Y38,IF('DDR4 Config'!$O$1=3,'DDR4 Spec'!AJ38,'DDR4 Spec'!#REF!)))</f>
        <v>0</v>
      </c>
      <c r="O101" s="256">
        <f>HLOOKUP($O$70,$E$70:$N$129,32)</f>
        <v>0</v>
      </c>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32"/>
    </row>
    <row r="102" spans="2:38" ht="7.5" hidden="1" customHeight="1">
      <c r="B102" s="53"/>
      <c r="C102" s="54">
        <f t="shared" si="5"/>
        <v>95</v>
      </c>
      <c r="D102" s="451"/>
      <c r="E102" s="51">
        <f>IF('DDR4 Config'!$O$1=1,'DDR4 Spec'!E39,IF('DDR4 Config'!$O$1=2,'DDR4 Spec'!P39,IF('DDR4 Config'!$O$1=3,'DDR4 Spec'!AA39,'DDR4 Spec'!#REF!)))</f>
        <v>9</v>
      </c>
      <c r="F102" s="51">
        <f>IF('DDR4 Config'!$O$1=1,'DDR4 Spec'!F39,IF('DDR4 Config'!$O$1=2,'DDR4 Spec'!Q39,IF('DDR4 Config'!$O$1=3,'DDR4 Spec'!AB39,'DDR4 Spec'!#REF!)))</f>
        <v>0</v>
      </c>
      <c r="G102" s="51">
        <f>IF('DDR4 Config'!$O$1=1,'DDR4 Spec'!G39,IF('DDR4 Config'!$O$1=2,'DDR4 Spec'!R39,IF('DDR4 Config'!$O$1=3,'DDR4 Spec'!AC39,'DDR4 Spec'!#REF!)))</f>
        <v>0</v>
      </c>
      <c r="H102" s="51">
        <f>IF('DDR4 Config'!$O$1=1,'DDR4 Spec'!H39,IF('DDR4 Config'!$O$1=2,'DDR4 Spec'!S39,IF('DDR4 Config'!$O$1=3,'DDR4 Spec'!AD39,'DDR4 Spec'!#REF!)))</f>
        <v>0</v>
      </c>
      <c r="I102" s="51">
        <f>IF('DDR4 Config'!$O$1=1,'DDR4 Spec'!I39,IF('DDR4 Config'!$O$1=2,'DDR4 Spec'!T39,IF('DDR4 Config'!$O$1=3,'DDR4 Spec'!AE39,'DDR4 Spec'!#REF!)))</f>
        <v>0</v>
      </c>
      <c r="J102" s="51">
        <f>IF('DDR4 Config'!$O$1=1,'DDR4 Spec'!J39,IF('DDR4 Config'!$O$1=2,'DDR4 Spec'!U39,IF('DDR4 Config'!$O$1=3,'DDR4 Spec'!AF39,'DDR4 Spec'!#REF!)))</f>
        <v>0</v>
      </c>
      <c r="K102" s="51">
        <f>IF('DDR4 Config'!$O$1=1,'DDR4 Spec'!K39,IF('DDR4 Config'!$O$1=2,'DDR4 Spec'!V39,IF('DDR4 Config'!$O$1=3,'DDR4 Spec'!AG39,'DDR4 Spec'!#REF!)))</f>
        <v>0</v>
      </c>
      <c r="L102" s="51">
        <f>IF('DDR4 Config'!$O$1=1,'DDR4 Spec'!L39,IF('DDR4 Config'!$O$1=2,'DDR4 Spec'!W39,IF('DDR4 Config'!$O$1=3,'DDR4 Spec'!AH39,'DDR4 Spec'!#REF!)))</f>
        <v>0</v>
      </c>
      <c r="M102" s="51">
        <f>IF('DDR4 Config'!$O$1=1,'DDR4 Spec'!M39,IF('DDR4 Config'!$O$1=2,'DDR4 Spec'!X39,IF('DDR4 Config'!$O$1=3,'DDR4 Spec'!AI39,'DDR4 Spec'!#REF!)))</f>
        <v>0</v>
      </c>
      <c r="N102" s="51">
        <f>IF('DDR4 Config'!$O$1=1,'DDR4 Spec'!N39,IF('DDR4 Config'!$O$1=2,'DDR4 Spec'!Y39,IF('DDR4 Config'!$O$1=3,'DDR4 Spec'!AJ39,'DDR4 Spec'!#REF!)))</f>
        <v>0</v>
      </c>
      <c r="O102" s="256">
        <f>HLOOKUP($O$70,$E$70:$N$129,33)</f>
        <v>0</v>
      </c>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32"/>
    </row>
    <row r="103" spans="2:38" ht="7.5" hidden="1" customHeight="1">
      <c r="B103" s="53"/>
      <c r="C103" s="54">
        <f>C96+1</f>
        <v>90</v>
      </c>
      <c r="D103" s="451" t="s">
        <v>162</v>
      </c>
      <c r="E103" s="51">
        <f>IF('DDR4 Config'!$O$1=1,'DDR4 Spec'!E40,IF('DDR4 Config'!$O$1=2,'DDR4 Spec'!P40,IF('DDR4 Config'!$O$1=3,'DDR4 Spec'!AA40,'DDR4 Spec'!#REF!)))</f>
        <v>345</v>
      </c>
      <c r="F103" s="51">
        <f>IF('DDR4 Config'!$O$1=1,'DDR4 Spec'!F40,IF('DDR4 Config'!$O$1=2,'DDR4 Spec'!Q40,IF('DDR4 Config'!$O$1=3,'DDR4 Spec'!AB40,'DDR4 Spec'!#REF!)))</f>
        <v>0</v>
      </c>
      <c r="G103" s="51">
        <f>IF('DDR4 Config'!$O$1=1,'DDR4 Spec'!G40,IF('DDR4 Config'!$O$1=2,'DDR4 Spec'!R40,IF('DDR4 Config'!$O$1=3,'DDR4 Spec'!AC40,'DDR4 Spec'!#REF!)))</f>
        <v>0</v>
      </c>
      <c r="H103" s="51">
        <f>IF('DDR4 Config'!$O$1=1,'DDR4 Spec'!H40,IF('DDR4 Config'!$O$1=2,'DDR4 Spec'!S40,IF('DDR4 Config'!$O$1=3,'DDR4 Spec'!AD40,'DDR4 Spec'!#REF!)))</f>
        <v>0</v>
      </c>
      <c r="I103" s="51">
        <f>IF('DDR4 Config'!$O$1=1,'DDR4 Spec'!I40,IF('DDR4 Config'!$O$1=2,'DDR4 Spec'!T40,IF('DDR4 Config'!$O$1=3,'DDR4 Spec'!AE40,'DDR4 Spec'!#REF!)))</f>
        <v>0</v>
      </c>
      <c r="J103" s="51">
        <f>IF('DDR4 Config'!$O$1=1,'DDR4 Spec'!J40,IF('DDR4 Config'!$O$1=2,'DDR4 Spec'!U40,IF('DDR4 Config'!$O$1=3,'DDR4 Spec'!AF40,'DDR4 Spec'!#REF!)))</f>
        <v>0</v>
      </c>
      <c r="K103" s="51">
        <f>IF('DDR4 Config'!$O$1=1,'DDR4 Spec'!K40,IF('DDR4 Config'!$O$1=2,'DDR4 Spec'!V40,IF('DDR4 Config'!$O$1=3,'DDR4 Spec'!AG40,'DDR4 Spec'!#REF!)))</f>
        <v>0</v>
      </c>
      <c r="L103" s="51">
        <f>IF('DDR4 Config'!$O$1=1,'DDR4 Spec'!L40,IF('DDR4 Config'!$O$1=2,'DDR4 Spec'!W40,IF('DDR4 Config'!$O$1=3,'DDR4 Spec'!AH40,'DDR4 Spec'!#REF!)))</f>
        <v>0</v>
      </c>
      <c r="M103" s="51">
        <f>IF('DDR4 Config'!$O$1=1,'DDR4 Spec'!M40,IF('DDR4 Config'!$O$1=2,'DDR4 Spec'!X40,IF('DDR4 Config'!$O$1=3,'DDR4 Spec'!AI40,'DDR4 Spec'!#REF!)))</f>
        <v>0</v>
      </c>
      <c r="N103" s="51">
        <f>IF('DDR4 Config'!$O$1=1,'DDR4 Spec'!N40,IF('DDR4 Config'!$O$1=2,'DDR4 Spec'!Y40,IF('DDR4 Config'!$O$1=3,'DDR4 Spec'!AJ40,'DDR4 Spec'!#REF!)))</f>
        <v>0</v>
      </c>
      <c r="O103" s="256">
        <f>HLOOKUP($O$70,$E$70:$N$129,34)</f>
        <v>0</v>
      </c>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32"/>
    </row>
    <row r="104" spans="2:38" ht="7.5" hidden="1" customHeight="1">
      <c r="B104" s="53"/>
      <c r="C104" s="54">
        <f t="shared" ref="C104:C105" si="6">C103+1</f>
        <v>91</v>
      </c>
      <c r="D104" s="451"/>
      <c r="E104" s="51">
        <f>IF('DDR4 Config'!$O$1=1,'DDR4 Spec'!E41,IF('DDR4 Config'!$O$1=2,'DDR4 Spec'!P41,IF('DDR4 Config'!$O$1=3,'DDR4 Spec'!AA41,'DDR4 Spec'!#REF!)))</f>
        <v>349</v>
      </c>
      <c r="F104" s="51">
        <f>IF('DDR4 Config'!$O$1=1,'DDR4 Spec'!F41,IF('DDR4 Config'!$O$1=2,'DDR4 Spec'!Q41,IF('DDR4 Config'!$O$1=3,'DDR4 Spec'!AB41,'DDR4 Spec'!#REF!)))</f>
        <v>0</v>
      </c>
      <c r="G104" s="51">
        <f>IF('DDR4 Config'!$O$1=1,'DDR4 Spec'!G41,IF('DDR4 Config'!$O$1=2,'DDR4 Spec'!R41,IF('DDR4 Config'!$O$1=3,'DDR4 Spec'!AC41,'DDR4 Spec'!#REF!)))</f>
        <v>0</v>
      </c>
      <c r="H104" s="51">
        <f>IF('DDR4 Config'!$O$1=1,'DDR4 Spec'!H41,IF('DDR4 Config'!$O$1=2,'DDR4 Spec'!S41,IF('DDR4 Config'!$O$1=3,'DDR4 Spec'!AD41,'DDR4 Spec'!#REF!)))</f>
        <v>0</v>
      </c>
      <c r="I104" s="51">
        <f>IF('DDR4 Config'!$O$1=1,'DDR4 Spec'!I41,IF('DDR4 Config'!$O$1=2,'DDR4 Spec'!T41,IF('DDR4 Config'!$O$1=3,'DDR4 Spec'!AE41,'DDR4 Spec'!#REF!)))</f>
        <v>0</v>
      </c>
      <c r="J104" s="51">
        <f>IF('DDR4 Config'!$O$1=1,'DDR4 Spec'!J41,IF('DDR4 Config'!$O$1=2,'DDR4 Spec'!U41,IF('DDR4 Config'!$O$1=3,'DDR4 Spec'!AF41,'DDR4 Spec'!#REF!)))</f>
        <v>0</v>
      </c>
      <c r="K104" s="51">
        <f>IF('DDR4 Config'!$O$1=1,'DDR4 Spec'!K41,IF('DDR4 Config'!$O$1=2,'DDR4 Spec'!V41,IF('DDR4 Config'!$O$1=3,'DDR4 Spec'!AG41,'DDR4 Spec'!#REF!)))</f>
        <v>0</v>
      </c>
      <c r="L104" s="51">
        <f>IF('DDR4 Config'!$O$1=1,'DDR4 Spec'!L41,IF('DDR4 Config'!$O$1=2,'DDR4 Spec'!W41,IF('DDR4 Config'!$O$1=3,'DDR4 Spec'!AH41,'DDR4 Spec'!#REF!)))</f>
        <v>0</v>
      </c>
      <c r="M104" s="51">
        <f>IF('DDR4 Config'!$O$1=1,'DDR4 Spec'!M41,IF('DDR4 Config'!$O$1=2,'DDR4 Spec'!X41,IF('DDR4 Config'!$O$1=3,'DDR4 Spec'!AI41,'DDR4 Spec'!#REF!)))</f>
        <v>0</v>
      </c>
      <c r="N104" s="51">
        <f>IF('DDR4 Config'!$O$1=1,'DDR4 Spec'!N41,IF('DDR4 Config'!$O$1=2,'DDR4 Spec'!Y41,IF('DDR4 Config'!$O$1=3,'DDR4 Spec'!AJ41,'DDR4 Spec'!#REF!)))</f>
        <v>0</v>
      </c>
      <c r="O104" s="256">
        <f>HLOOKUP($O$70,$E$70:$N$129,35)</f>
        <v>0</v>
      </c>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32"/>
    </row>
    <row r="105" spans="2:38" ht="7.5" hidden="1" customHeight="1">
      <c r="B105" s="53"/>
      <c r="C105" s="54">
        <f t="shared" si="6"/>
        <v>92</v>
      </c>
      <c r="D105" s="451"/>
      <c r="E105" s="51">
        <f>IF('DDR4 Config'!$O$1=1,'DDR4 Spec'!E42,IF('DDR4 Config'!$O$1=2,'DDR4 Spec'!P42,IF('DDR4 Config'!$O$1=3,'DDR4 Spec'!AA42,'DDR4 Spec'!#REF!)))</f>
        <v>479</v>
      </c>
      <c r="F105" s="51">
        <f>IF('DDR4 Config'!$O$1=1,'DDR4 Spec'!F42,IF('DDR4 Config'!$O$1=2,'DDR4 Spec'!Q42,IF('DDR4 Config'!$O$1=3,'DDR4 Spec'!AB42,'DDR4 Spec'!#REF!)))</f>
        <v>0</v>
      </c>
      <c r="G105" s="51">
        <f>IF('DDR4 Config'!$O$1=1,'DDR4 Spec'!G42,IF('DDR4 Config'!$O$1=2,'DDR4 Spec'!R42,IF('DDR4 Config'!$O$1=3,'DDR4 Spec'!AC42,'DDR4 Spec'!#REF!)))</f>
        <v>0</v>
      </c>
      <c r="H105" s="51">
        <f>IF('DDR4 Config'!$O$1=1,'DDR4 Spec'!H42,IF('DDR4 Config'!$O$1=2,'DDR4 Spec'!S42,IF('DDR4 Config'!$O$1=3,'DDR4 Spec'!AD42,'DDR4 Spec'!#REF!)))</f>
        <v>0</v>
      </c>
      <c r="I105" s="51">
        <f>IF('DDR4 Config'!$O$1=1,'DDR4 Spec'!I42,IF('DDR4 Config'!$O$1=2,'DDR4 Spec'!T42,IF('DDR4 Config'!$O$1=3,'DDR4 Spec'!AE42,'DDR4 Spec'!#REF!)))</f>
        <v>0</v>
      </c>
      <c r="J105" s="51">
        <f>IF('DDR4 Config'!$O$1=1,'DDR4 Spec'!J42,IF('DDR4 Config'!$O$1=2,'DDR4 Spec'!U42,IF('DDR4 Config'!$O$1=3,'DDR4 Spec'!AF42,'DDR4 Spec'!#REF!)))</f>
        <v>0</v>
      </c>
      <c r="K105" s="51">
        <f>IF('DDR4 Config'!$O$1=1,'DDR4 Spec'!K42,IF('DDR4 Config'!$O$1=2,'DDR4 Spec'!V42,IF('DDR4 Config'!$O$1=3,'DDR4 Spec'!AG42,'DDR4 Spec'!#REF!)))</f>
        <v>0</v>
      </c>
      <c r="L105" s="51">
        <f>IF('DDR4 Config'!$O$1=1,'DDR4 Spec'!L42,IF('DDR4 Config'!$O$1=2,'DDR4 Spec'!W42,IF('DDR4 Config'!$O$1=3,'DDR4 Spec'!AH42,'DDR4 Spec'!#REF!)))</f>
        <v>0</v>
      </c>
      <c r="M105" s="51">
        <f>IF('DDR4 Config'!$O$1=1,'DDR4 Spec'!M42,IF('DDR4 Config'!$O$1=2,'DDR4 Spec'!X42,IF('DDR4 Config'!$O$1=3,'DDR4 Spec'!AI42,'DDR4 Spec'!#REF!)))</f>
        <v>0</v>
      </c>
      <c r="N105" s="51">
        <f>IF('DDR4 Config'!$O$1=1,'DDR4 Spec'!N42,IF('DDR4 Config'!$O$1=2,'DDR4 Spec'!Y42,IF('DDR4 Config'!$O$1=3,'DDR4 Spec'!AJ42,'DDR4 Spec'!#REF!)))</f>
        <v>0</v>
      </c>
      <c r="O105" s="256">
        <f>HLOOKUP($O$70,$E$70:$N$129,36)</f>
        <v>0</v>
      </c>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32"/>
    </row>
    <row r="106" spans="2:38" ht="7.5" hidden="1" customHeight="1">
      <c r="B106" s="53"/>
      <c r="C106" s="54">
        <f>C99+1</f>
        <v>93</v>
      </c>
      <c r="D106" s="451" t="s">
        <v>334</v>
      </c>
      <c r="E106" s="51">
        <f>IF('DDR4 Config'!$O$1=1,'DDR4 Spec'!E43,IF('DDR4 Config'!$O$1=2,'DDR4 Spec'!P43,IF('DDR4 Config'!$O$1=3,'DDR4 Spec'!AA43,'DDR4 Spec'!#REF!)))</f>
        <v>36</v>
      </c>
      <c r="F106" s="51">
        <f>IF('DDR4 Config'!$O$1=1,'DDR4 Spec'!F43,IF('DDR4 Config'!$O$1=2,'DDR4 Spec'!Q43,IF('DDR4 Config'!$O$1=3,'DDR4 Spec'!AB43,'DDR4 Spec'!#REF!)))</f>
        <v>0</v>
      </c>
      <c r="G106" s="51">
        <f>IF('DDR4 Config'!$O$1=1,'DDR4 Spec'!G43,IF('DDR4 Config'!$O$1=2,'DDR4 Spec'!R43,IF('DDR4 Config'!$O$1=3,'DDR4 Spec'!AC43,'DDR4 Spec'!#REF!)))</f>
        <v>0</v>
      </c>
      <c r="H106" s="51">
        <f>IF('DDR4 Config'!$O$1=1,'DDR4 Spec'!H43,IF('DDR4 Config'!$O$1=2,'DDR4 Spec'!S43,IF('DDR4 Config'!$O$1=3,'DDR4 Spec'!AD43,'DDR4 Spec'!#REF!)))</f>
        <v>0</v>
      </c>
      <c r="I106" s="51">
        <f>IF('DDR4 Config'!$O$1=1,'DDR4 Spec'!I43,IF('DDR4 Config'!$O$1=2,'DDR4 Spec'!T43,IF('DDR4 Config'!$O$1=3,'DDR4 Spec'!AE43,'DDR4 Spec'!#REF!)))</f>
        <v>0</v>
      </c>
      <c r="J106" s="51">
        <f>IF('DDR4 Config'!$O$1=1,'DDR4 Spec'!J43,IF('DDR4 Config'!$O$1=2,'DDR4 Spec'!U43,IF('DDR4 Config'!$O$1=3,'DDR4 Spec'!AF43,'DDR4 Spec'!#REF!)))</f>
        <v>0</v>
      </c>
      <c r="K106" s="51">
        <f>IF('DDR4 Config'!$O$1=1,'DDR4 Spec'!K43,IF('DDR4 Config'!$O$1=2,'DDR4 Spec'!V43,IF('DDR4 Config'!$O$1=3,'DDR4 Spec'!AG43,'DDR4 Spec'!#REF!)))</f>
        <v>0</v>
      </c>
      <c r="L106" s="51">
        <f>IF('DDR4 Config'!$O$1=1,'DDR4 Spec'!L43,IF('DDR4 Config'!$O$1=2,'DDR4 Spec'!W43,IF('DDR4 Config'!$O$1=3,'DDR4 Spec'!AH43,'DDR4 Spec'!#REF!)))</f>
        <v>0</v>
      </c>
      <c r="M106" s="51">
        <f>IF('DDR4 Config'!$O$1=1,'DDR4 Spec'!M43,IF('DDR4 Config'!$O$1=2,'DDR4 Spec'!X43,IF('DDR4 Config'!$O$1=3,'DDR4 Spec'!AI43,'DDR4 Spec'!#REF!)))</f>
        <v>0</v>
      </c>
      <c r="N106" s="51">
        <f>IF('DDR4 Config'!$O$1=1,'DDR4 Spec'!N43,IF('DDR4 Config'!$O$1=2,'DDR4 Spec'!Y43,IF('DDR4 Config'!$O$1=3,'DDR4 Spec'!AJ43,'DDR4 Spec'!#REF!)))</f>
        <v>0</v>
      </c>
      <c r="O106" s="256">
        <f>HLOOKUP($O$70,$E$70:$N$129,37)</f>
        <v>0</v>
      </c>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32"/>
    </row>
    <row r="107" spans="2:38" ht="7.5" hidden="1" customHeight="1">
      <c r="B107" s="53"/>
      <c r="C107" s="54">
        <f t="shared" si="4"/>
        <v>94</v>
      </c>
      <c r="D107" s="451"/>
      <c r="E107" s="51">
        <f>IF('DDR4 Config'!$O$1=1,'DDR4 Spec'!E44,IF('DDR4 Config'!$O$1=2,'DDR4 Spec'!P44,IF('DDR4 Config'!$O$1=3,'DDR4 Spec'!AA44,'DDR4 Spec'!#REF!)))</f>
        <v>37</v>
      </c>
      <c r="F107" s="51">
        <f>IF('DDR4 Config'!$O$1=1,'DDR4 Spec'!F44,IF('DDR4 Config'!$O$1=2,'DDR4 Spec'!Q44,IF('DDR4 Config'!$O$1=3,'DDR4 Spec'!AB44,'DDR4 Spec'!#REF!)))</f>
        <v>0</v>
      </c>
      <c r="G107" s="51">
        <f>IF('DDR4 Config'!$O$1=1,'DDR4 Spec'!G44,IF('DDR4 Config'!$O$1=2,'DDR4 Spec'!R44,IF('DDR4 Config'!$O$1=3,'DDR4 Spec'!AC44,'DDR4 Spec'!#REF!)))</f>
        <v>0</v>
      </c>
      <c r="H107" s="51">
        <f>IF('DDR4 Config'!$O$1=1,'DDR4 Spec'!H44,IF('DDR4 Config'!$O$1=2,'DDR4 Spec'!S44,IF('DDR4 Config'!$O$1=3,'DDR4 Spec'!AD44,'DDR4 Spec'!#REF!)))</f>
        <v>0</v>
      </c>
      <c r="I107" s="51">
        <f>IF('DDR4 Config'!$O$1=1,'DDR4 Spec'!I44,IF('DDR4 Config'!$O$1=2,'DDR4 Spec'!T44,IF('DDR4 Config'!$O$1=3,'DDR4 Spec'!AE44,'DDR4 Spec'!#REF!)))</f>
        <v>0</v>
      </c>
      <c r="J107" s="51">
        <f>IF('DDR4 Config'!$O$1=1,'DDR4 Spec'!J44,IF('DDR4 Config'!$O$1=2,'DDR4 Spec'!U44,IF('DDR4 Config'!$O$1=3,'DDR4 Spec'!AF44,'DDR4 Spec'!#REF!)))</f>
        <v>0</v>
      </c>
      <c r="K107" s="51">
        <f>IF('DDR4 Config'!$O$1=1,'DDR4 Spec'!K44,IF('DDR4 Config'!$O$1=2,'DDR4 Spec'!V44,IF('DDR4 Config'!$O$1=3,'DDR4 Spec'!AG44,'DDR4 Spec'!#REF!)))</f>
        <v>0</v>
      </c>
      <c r="L107" s="51">
        <f>IF('DDR4 Config'!$O$1=1,'DDR4 Spec'!L44,IF('DDR4 Config'!$O$1=2,'DDR4 Spec'!W44,IF('DDR4 Config'!$O$1=3,'DDR4 Spec'!AH44,'DDR4 Spec'!#REF!)))</f>
        <v>0</v>
      </c>
      <c r="M107" s="51">
        <f>IF('DDR4 Config'!$O$1=1,'DDR4 Spec'!M44,IF('DDR4 Config'!$O$1=2,'DDR4 Spec'!X44,IF('DDR4 Config'!$O$1=3,'DDR4 Spec'!AI44,'DDR4 Spec'!#REF!)))</f>
        <v>0</v>
      </c>
      <c r="N107" s="51">
        <f>IF('DDR4 Config'!$O$1=1,'DDR4 Spec'!N44,IF('DDR4 Config'!$O$1=2,'DDR4 Spec'!Y44,IF('DDR4 Config'!$O$1=3,'DDR4 Spec'!AJ44,'DDR4 Spec'!#REF!)))</f>
        <v>0</v>
      </c>
      <c r="O107" s="256">
        <f>HLOOKUP($O$70,$E$70:$N$129,38)</f>
        <v>0</v>
      </c>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32"/>
    </row>
    <row r="108" spans="2:38" ht="7.5" hidden="1" customHeight="1">
      <c r="B108" s="53"/>
      <c r="C108" s="54">
        <f t="shared" si="4"/>
        <v>95</v>
      </c>
      <c r="D108" s="451"/>
      <c r="E108" s="51">
        <f>IF('DDR4 Config'!$O$1=1,'DDR4 Spec'!E45,IF('DDR4 Config'!$O$1=2,'DDR4 Spec'!P45,IF('DDR4 Config'!$O$1=3,'DDR4 Spec'!AA45,'DDR4 Spec'!#REF!)))</f>
        <v>64</v>
      </c>
      <c r="F108" s="51">
        <f>IF('DDR4 Config'!$O$1=1,'DDR4 Spec'!F45,IF('DDR4 Config'!$O$1=2,'DDR4 Spec'!Q45,IF('DDR4 Config'!$O$1=3,'DDR4 Spec'!AB45,'DDR4 Spec'!#REF!)))</f>
        <v>0</v>
      </c>
      <c r="G108" s="51">
        <f>IF('DDR4 Config'!$O$1=1,'DDR4 Spec'!G45,IF('DDR4 Config'!$O$1=2,'DDR4 Spec'!R45,IF('DDR4 Config'!$O$1=3,'DDR4 Spec'!AC45,'DDR4 Spec'!#REF!)))</f>
        <v>0</v>
      </c>
      <c r="H108" s="51">
        <f>IF('DDR4 Config'!$O$1=1,'DDR4 Spec'!H45,IF('DDR4 Config'!$O$1=2,'DDR4 Spec'!S45,IF('DDR4 Config'!$O$1=3,'DDR4 Spec'!AD45,'DDR4 Spec'!#REF!)))</f>
        <v>0</v>
      </c>
      <c r="I108" s="51">
        <f>IF('DDR4 Config'!$O$1=1,'DDR4 Spec'!I45,IF('DDR4 Config'!$O$1=2,'DDR4 Spec'!T45,IF('DDR4 Config'!$O$1=3,'DDR4 Spec'!AE45,'DDR4 Spec'!#REF!)))</f>
        <v>0</v>
      </c>
      <c r="J108" s="51">
        <f>IF('DDR4 Config'!$O$1=1,'DDR4 Spec'!J45,IF('DDR4 Config'!$O$1=2,'DDR4 Spec'!U45,IF('DDR4 Config'!$O$1=3,'DDR4 Spec'!AF45,'DDR4 Spec'!#REF!)))</f>
        <v>0</v>
      </c>
      <c r="K108" s="51">
        <f>IF('DDR4 Config'!$O$1=1,'DDR4 Spec'!K45,IF('DDR4 Config'!$O$1=2,'DDR4 Spec'!V45,IF('DDR4 Config'!$O$1=3,'DDR4 Spec'!AG45,'DDR4 Spec'!#REF!)))</f>
        <v>0</v>
      </c>
      <c r="L108" s="51">
        <f>IF('DDR4 Config'!$O$1=1,'DDR4 Spec'!L45,IF('DDR4 Config'!$O$1=2,'DDR4 Spec'!W45,IF('DDR4 Config'!$O$1=3,'DDR4 Spec'!AH45,'DDR4 Spec'!#REF!)))</f>
        <v>0</v>
      </c>
      <c r="M108" s="51">
        <f>IF('DDR4 Config'!$O$1=1,'DDR4 Spec'!M45,IF('DDR4 Config'!$O$1=2,'DDR4 Spec'!X45,IF('DDR4 Config'!$O$1=3,'DDR4 Spec'!AI45,'DDR4 Spec'!#REF!)))</f>
        <v>0</v>
      </c>
      <c r="N108" s="51">
        <f>IF('DDR4 Config'!$O$1=1,'DDR4 Spec'!N45,IF('DDR4 Config'!$O$1=2,'DDR4 Spec'!Y45,IF('DDR4 Config'!$O$1=3,'DDR4 Spec'!AJ45,'DDR4 Spec'!#REF!)))</f>
        <v>0</v>
      </c>
      <c r="O108" s="256">
        <f>HLOOKUP($O$70,$E$70:$N$129,39)</f>
        <v>0</v>
      </c>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32"/>
    </row>
    <row r="109" spans="2:38" ht="7.5" hidden="1" customHeight="1">
      <c r="B109" s="53"/>
      <c r="C109" s="54">
        <f t="shared" si="4"/>
        <v>96</v>
      </c>
      <c r="D109" s="451" t="str">
        <f>B46</f>
        <v>IDD5R</v>
      </c>
      <c r="E109" s="51">
        <f>IF('DDR4 Config'!$O$1=1,'DDR4 Spec'!E46,IF('DDR4 Config'!$O$1=2,'DDR4 Spec'!P46,IF('DDR4 Config'!$O$1=3,'DDR4 Spec'!AA46,'DDR4 Spec'!#REF!)))</f>
        <v>0</v>
      </c>
      <c r="F109" s="51">
        <f>IF('DDR4 Config'!$O$1=1,'DDR4 Spec'!F46,IF('DDR4 Config'!$O$1=2,'DDR4 Spec'!Q46,IF('DDR4 Config'!$O$1=3,'DDR4 Spec'!AB46,'DDR4 Spec'!#REF!)))</f>
        <v>0</v>
      </c>
      <c r="G109" s="51">
        <f>IF('DDR4 Config'!$O$1=1,'DDR4 Spec'!G46,IF('DDR4 Config'!$O$1=2,'DDR4 Spec'!R46,IF('DDR4 Config'!$O$1=3,'DDR4 Spec'!AC46,'DDR4 Spec'!#REF!)))</f>
        <v>0</v>
      </c>
      <c r="H109" s="51">
        <f>IF('DDR4 Config'!$O$1=1,'DDR4 Spec'!H46,IF('DDR4 Config'!$O$1=2,'DDR4 Spec'!S46,IF('DDR4 Config'!$O$1=3,'DDR4 Spec'!AD46,'DDR4 Spec'!#REF!)))</f>
        <v>0</v>
      </c>
      <c r="I109" s="51">
        <f>IF('DDR4 Config'!$O$1=1,'DDR4 Spec'!I46,IF('DDR4 Config'!$O$1=2,'DDR4 Spec'!T46,IF('DDR4 Config'!$O$1=3,'DDR4 Spec'!AE46,'DDR4 Spec'!#REF!)))</f>
        <v>0</v>
      </c>
      <c r="J109" s="51">
        <f>IF('DDR4 Config'!$O$1=1,'DDR4 Spec'!J46,IF('DDR4 Config'!$O$1=2,'DDR4 Spec'!U46,IF('DDR4 Config'!$O$1=3,'DDR4 Spec'!AF46,'DDR4 Spec'!#REF!)))</f>
        <v>0</v>
      </c>
      <c r="K109" s="51">
        <f>IF('DDR4 Config'!$O$1=1,'DDR4 Spec'!K46,IF('DDR4 Config'!$O$1=2,'DDR4 Spec'!V46,IF('DDR4 Config'!$O$1=3,'DDR4 Spec'!AG46,'DDR4 Spec'!#REF!)))</f>
        <v>0</v>
      </c>
      <c r="L109" s="51">
        <f>IF('DDR4 Config'!$O$1=1,'DDR4 Spec'!L46,IF('DDR4 Config'!$O$1=2,'DDR4 Spec'!W46,IF('DDR4 Config'!$O$1=3,'DDR4 Spec'!AH46,'DDR4 Spec'!#REF!)))</f>
        <v>0</v>
      </c>
      <c r="M109" s="51">
        <f>IF('DDR4 Config'!$O$1=1,'DDR4 Spec'!M46,IF('DDR4 Config'!$O$1=2,'DDR4 Spec'!X46,IF('DDR4 Config'!$O$1=3,'DDR4 Spec'!AI46,'DDR4 Spec'!#REF!)))</f>
        <v>0</v>
      </c>
      <c r="N109" s="51">
        <f>IF('DDR4 Config'!$O$1=1,'DDR4 Spec'!N46,IF('DDR4 Config'!$O$1=2,'DDR4 Spec'!Y46,IF('DDR4 Config'!$O$1=3,'DDR4 Spec'!AJ46,'DDR4 Spec'!#REF!)))</f>
        <v>0</v>
      </c>
      <c r="O109" s="256">
        <f>HLOOKUP($O$70,$E$70:$N$129,40)</f>
        <v>0</v>
      </c>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32"/>
    </row>
    <row r="110" spans="2:38" ht="7.5" hidden="1" customHeight="1">
      <c r="B110" s="53"/>
      <c r="C110" s="54">
        <f t="shared" si="4"/>
        <v>97</v>
      </c>
      <c r="D110" s="451"/>
      <c r="E110" s="51">
        <f>IF('DDR4 Config'!$O$1=1,'DDR4 Spec'!E47,IF('DDR4 Config'!$O$1=2,'DDR4 Spec'!P47,IF('DDR4 Config'!$O$1=3,'DDR4 Spec'!AA47,'DDR4 Spec'!#REF!)))</f>
        <v>0</v>
      </c>
      <c r="F110" s="51">
        <f>IF('DDR4 Config'!$O$1=1,'DDR4 Spec'!F47,IF('DDR4 Config'!$O$1=2,'DDR4 Spec'!Q47,IF('DDR4 Config'!$O$1=3,'DDR4 Spec'!AB47,'DDR4 Spec'!#REF!)))</f>
        <v>0</v>
      </c>
      <c r="G110" s="51">
        <f>IF('DDR4 Config'!$O$1=1,'DDR4 Spec'!G47,IF('DDR4 Config'!$O$1=2,'DDR4 Spec'!R47,IF('DDR4 Config'!$O$1=3,'DDR4 Spec'!AC47,'DDR4 Spec'!#REF!)))</f>
        <v>0</v>
      </c>
      <c r="H110" s="51">
        <f>IF('DDR4 Config'!$O$1=1,'DDR4 Spec'!H47,IF('DDR4 Config'!$O$1=2,'DDR4 Spec'!S47,IF('DDR4 Config'!$O$1=3,'DDR4 Spec'!AD47,'DDR4 Spec'!#REF!)))</f>
        <v>0</v>
      </c>
      <c r="I110" s="51">
        <f>IF('DDR4 Config'!$O$1=1,'DDR4 Spec'!I47,IF('DDR4 Config'!$O$1=2,'DDR4 Spec'!T47,IF('DDR4 Config'!$O$1=3,'DDR4 Spec'!AE47,'DDR4 Spec'!#REF!)))</f>
        <v>0</v>
      </c>
      <c r="J110" s="51">
        <f>IF('DDR4 Config'!$O$1=1,'DDR4 Spec'!J47,IF('DDR4 Config'!$O$1=2,'DDR4 Spec'!U47,IF('DDR4 Config'!$O$1=3,'DDR4 Spec'!AF47,'DDR4 Spec'!#REF!)))</f>
        <v>0</v>
      </c>
      <c r="K110" s="51">
        <f>IF('DDR4 Config'!$O$1=1,'DDR4 Spec'!K47,IF('DDR4 Config'!$O$1=2,'DDR4 Spec'!V47,IF('DDR4 Config'!$O$1=3,'DDR4 Spec'!AG47,'DDR4 Spec'!#REF!)))</f>
        <v>0</v>
      </c>
      <c r="L110" s="51">
        <f>IF('DDR4 Config'!$O$1=1,'DDR4 Spec'!L47,IF('DDR4 Config'!$O$1=2,'DDR4 Spec'!W47,IF('DDR4 Config'!$O$1=3,'DDR4 Spec'!AH47,'DDR4 Spec'!#REF!)))</f>
        <v>0</v>
      </c>
      <c r="M110" s="51">
        <f>IF('DDR4 Config'!$O$1=1,'DDR4 Spec'!M47,IF('DDR4 Config'!$O$1=2,'DDR4 Spec'!X47,IF('DDR4 Config'!$O$1=3,'DDR4 Spec'!AI47,'DDR4 Spec'!#REF!)))</f>
        <v>0</v>
      </c>
      <c r="N110" s="51">
        <f>IF('DDR4 Config'!$O$1=1,'DDR4 Spec'!N47,IF('DDR4 Config'!$O$1=2,'DDR4 Spec'!Y47,IF('DDR4 Config'!$O$1=3,'DDR4 Spec'!AJ47,'DDR4 Spec'!#REF!)))</f>
        <v>0</v>
      </c>
      <c r="O110" s="256">
        <f>HLOOKUP($O$70,$E$70:$N$129,41)</f>
        <v>0</v>
      </c>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32"/>
    </row>
    <row r="111" spans="2:38" ht="7.5" hidden="1" customHeight="1">
      <c r="B111" s="53"/>
      <c r="C111" s="54">
        <f t="shared" si="4"/>
        <v>98</v>
      </c>
      <c r="D111" s="451"/>
      <c r="E111" s="51">
        <f>IF('DDR4 Config'!$O$1=1,'DDR4 Spec'!E48,IF('DDR4 Config'!$O$1=2,'DDR4 Spec'!P48,IF('DDR4 Config'!$O$1=3,'DDR4 Spec'!AA48,'DDR4 Spec'!#REF!)))</f>
        <v>0</v>
      </c>
      <c r="F111" s="51">
        <f>IF('DDR4 Config'!$O$1=1,'DDR4 Spec'!F48,IF('DDR4 Config'!$O$1=2,'DDR4 Spec'!Q48,IF('DDR4 Config'!$O$1=3,'DDR4 Spec'!AB48,'DDR4 Spec'!#REF!)))</f>
        <v>0</v>
      </c>
      <c r="G111" s="51">
        <f>IF('DDR4 Config'!$O$1=1,'DDR4 Spec'!G48,IF('DDR4 Config'!$O$1=2,'DDR4 Spec'!R48,IF('DDR4 Config'!$O$1=3,'DDR4 Spec'!AC48,'DDR4 Spec'!#REF!)))</f>
        <v>0</v>
      </c>
      <c r="H111" s="51">
        <f>IF('DDR4 Config'!$O$1=1,'DDR4 Spec'!H48,IF('DDR4 Config'!$O$1=2,'DDR4 Spec'!S48,IF('DDR4 Config'!$O$1=3,'DDR4 Spec'!AD48,'DDR4 Spec'!#REF!)))</f>
        <v>0</v>
      </c>
      <c r="I111" s="51">
        <f>IF('DDR4 Config'!$O$1=1,'DDR4 Spec'!I48,IF('DDR4 Config'!$O$1=2,'DDR4 Spec'!T48,IF('DDR4 Config'!$O$1=3,'DDR4 Spec'!AE48,'DDR4 Spec'!#REF!)))</f>
        <v>0</v>
      </c>
      <c r="J111" s="51">
        <f>IF('DDR4 Config'!$O$1=1,'DDR4 Spec'!J48,IF('DDR4 Config'!$O$1=2,'DDR4 Spec'!U48,IF('DDR4 Config'!$O$1=3,'DDR4 Spec'!AF48,'DDR4 Spec'!#REF!)))</f>
        <v>0</v>
      </c>
      <c r="K111" s="51">
        <f>IF('DDR4 Config'!$O$1=1,'DDR4 Spec'!K48,IF('DDR4 Config'!$O$1=2,'DDR4 Spec'!V48,IF('DDR4 Config'!$O$1=3,'DDR4 Spec'!AG48,'DDR4 Spec'!#REF!)))</f>
        <v>0</v>
      </c>
      <c r="L111" s="51">
        <f>IF('DDR4 Config'!$O$1=1,'DDR4 Spec'!L48,IF('DDR4 Config'!$O$1=2,'DDR4 Spec'!W48,IF('DDR4 Config'!$O$1=3,'DDR4 Spec'!AH48,'DDR4 Spec'!#REF!)))</f>
        <v>0</v>
      </c>
      <c r="M111" s="51">
        <f>IF('DDR4 Config'!$O$1=1,'DDR4 Spec'!M48,IF('DDR4 Config'!$O$1=2,'DDR4 Spec'!X48,IF('DDR4 Config'!$O$1=3,'DDR4 Spec'!AI48,'DDR4 Spec'!#REF!)))</f>
        <v>0</v>
      </c>
      <c r="N111" s="51">
        <f>IF('DDR4 Config'!$O$1=1,'DDR4 Spec'!N48,IF('DDR4 Config'!$O$1=2,'DDR4 Spec'!Y48,IF('DDR4 Config'!$O$1=3,'DDR4 Spec'!AJ48,'DDR4 Spec'!#REF!)))</f>
        <v>0</v>
      </c>
      <c r="O111" s="256">
        <f>HLOOKUP($O$70,$E$70:$N$129,42)</f>
        <v>0</v>
      </c>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32"/>
    </row>
    <row r="112" spans="2:38" ht="7.5" hidden="1" customHeight="1">
      <c r="B112" s="53"/>
      <c r="C112" s="54">
        <f t="shared" si="4"/>
        <v>99</v>
      </c>
      <c r="D112" s="451" t="str">
        <f>B49</f>
        <v>IPP5R</v>
      </c>
      <c r="E112" s="51">
        <f>IF('DDR4 Config'!$O$1=1,'DDR4 Spec'!E49,IF('DDR4 Config'!$O$1=2,'DDR4 Spec'!P49,IF('DDR4 Config'!$O$1=3,'DDR4 Spec'!AA49,'DDR4 Spec'!#REF!)))</f>
        <v>0</v>
      </c>
      <c r="F112" s="51">
        <f>IF('DDR4 Config'!$O$1=1,'DDR4 Spec'!F49,IF('DDR4 Config'!$O$1=2,'DDR4 Spec'!Q49,IF('DDR4 Config'!$O$1=3,'DDR4 Spec'!AB49,'DDR4 Spec'!#REF!)))</f>
        <v>0</v>
      </c>
      <c r="G112" s="51">
        <f>IF('DDR4 Config'!$O$1=1,'DDR4 Spec'!G49,IF('DDR4 Config'!$O$1=2,'DDR4 Spec'!R49,IF('DDR4 Config'!$O$1=3,'DDR4 Spec'!AC49,'DDR4 Spec'!#REF!)))</f>
        <v>0</v>
      </c>
      <c r="H112" s="51">
        <f>IF('DDR4 Config'!$O$1=1,'DDR4 Spec'!H49,IF('DDR4 Config'!$O$1=2,'DDR4 Spec'!S49,IF('DDR4 Config'!$O$1=3,'DDR4 Spec'!AD49,'DDR4 Spec'!#REF!)))</f>
        <v>0</v>
      </c>
      <c r="I112" s="51">
        <f>IF('DDR4 Config'!$O$1=1,'DDR4 Spec'!I49,IF('DDR4 Config'!$O$1=2,'DDR4 Spec'!T49,IF('DDR4 Config'!$O$1=3,'DDR4 Spec'!AE49,'DDR4 Spec'!#REF!)))</f>
        <v>0</v>
      </c>
      <c r="J112" s="51">
        <f>IF('DDR4 Config'!$O$1=1,'DDR4 Spec'!J49,IF('DDR4 Config'!$O$1=2,'DDR4 Spec'!U49,IF('DDR4 Config'!$O$1=3,'DDR4 Spec'!AF49,'DDR4 Spec'!#REF!)))</f>
        <v>0</v>
      </c>
      <c r="K112" s="51">
        <f>IF('DDR4 Config'!$O$1=1,'DDR4 Spec'!K49,IF('DDR4 Config'!$O$1=2,'DDR4 Spec'!V49,IF('DDR4 Config'!$O$1=3,'DDR4 Spec'!AG49,'DDR4 Spec'!#REF!)))</f>
        <v>0</v>
      </c>
      <c r="L112" s="51">
        <f>IF('DDR4 Config'!$O$1=1,'DDR4 Spec'!L49,IF('DDR4 Config'!$O$1=2,'DDR4 Spec'!W49,IF('DDR4 Config'!$O$1=3,'DDR4 Spec'!AH49,'DDR4 Spec'!#REF!)))</f>
        <v>0</v>
      </c>
      <c r="M112" s="51">
        <f>IF('DDR4 Config'!$O$1=1,'DDR4 Spec'!M49,IF('DDR4 Config'!$O$1=2,'DDR4 Spec'!X49,IF('DDR4 Config'!$O$1=3,'DDR4 Spec'!AI49,'DDR4 Spec'!#REF!)))</f>
        <v>0</v>
      </c>
      <c r="N112" s="51">
        <f>IF('DDR4 Config'!$O$1=1,'DDR4 Spec'!N49,IF('DDR4 Config'!$O$1=2,'DDR4 Spec'!Y49,IF('DDR4 Config'!$O$1=3,'DDR4 Spec'!AJ49,'DDR4 Spec'!#REF!)))</f>
        <v>0</v>
      </c>
      <c r="O112" s="256">
        <f>HLOOKUP($O$70,$E$70:$N$129,43)</f>
        <v>0</v>
      </c>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32"/>
    </row>
    <row r="113" spans="2:38" ht="7.5" hidden="1" customHeight="1">
      <c r="B113" s="53"/>
      <c r="C113" s="54">
        <f t="shared" si="4"/>
        <v>100</v>
      </c>
      <c r="D113" s="451"/>
      <c r="E113" s="51">
        <f>IF('DDR4 Config'!$O$1=1,'DDR4 Spec'!E50,IF('DDR4 Config'!$O$1=2,'DDR4 Spec'!P50,IF('DDR4 Config'!$O$1=3,'DDR4 Spec'!AA50,'DDR4 Spec'!#REF!)))</f>
        <v>0</v>
      </c>
      <c r="F113" s="51">
        <f>IF('DDR4 Config'!$O$1=1,'DDR4 Spec'!F50,IF('DDR4 Config'!$O$1=2,'DDR4 Spec'!Q50,IF('DDR4 Config'!$O$1=3,'DDR4 Spec'!AB50,'DDR4 Spec'!#REF!)))</f>
        <v>0</v>
      </c>
      <c r="G113" s="51">
        <f>IF('DDR4 Config'!$O$1=1,'DDR4 Spec'!G50,IF('DDR4 Config'!$O$1=2,'DDR4 Spec'!R50,IF('DDR4 Config'!$O$1=3,'DDR4 Spec'!AC50,'DDR4 Spec'!#REF!)))</f>
        <v>0</v>
      </c>
      <c r="H113" s="51">
        <f>IF('DDR4 Config'!$O$1=1,'DDR4 Spec'!H50,IF('DDR4 Config'!$O$1=2,'DDR4 Spec'!S50,IF('DDR4 Config'!$O$1=3,'DDR4 Spec'!AD50,'DDR4 Spec'!#REF!)))</f>
        <v>0</v>
      </c>
      <c r="I113" s="51">
        <f>IF('DDR4 Config'!$O$1=1,'DDR4 Spec'!I50,IF('DDR4 Config'!$O$1=2,'DDR4 Spec'!T50,IF('DDR4 Config'!$O$1=3,'DDR4 Spec'!AE50,'DDR4 Spec'!#REF!)))</f>
        <v>0</v>
      </c>
      <c r="J113" s="51">
        <f>IF('DDR4 Config'!$O$1=1,'DDR4 Spec'!J50,IF('DDR4 Config'!$O$1=2,'DDR4 Spec'!U50,IF('DDR4 Config'!$O$1=3,'DDR4 Spec'!AF50,'DDR4 Spec'!#REF!)))</f>
        <v>0</v>
      </c>
      <c r="K113" s="51">
        <f>IF('DDR4 Config'!$O$1=1,'DDR4 Spec'!K50,IF('DDR4 Config'!$O$1=2,'DDR4 Spec'!V50,IF('DDR4 Config'!$O$1=3,'DDR4 Spec'!AG50,'DDR4 Spec'!#REF!)))</f>
        <v>0</v>
      </c>
      <c r="L113" s="51">
        <f>IF('DDR4 Config'!$O$1=1,'DDR4 Spec'!L50,IF('DDR4 Config'!$O$1=2,'DDR4 Spec'!W50,IF('DDR4 Config'!$O$1=3,'DDR4 Spec'!AH50,'DDR4 Spec'!#REF!)))</f>
        <v>0</v>
      </c>
      <c r="M113" s="51">
        <f>IF('DDR4 Config'!$O$1=1,'DDR4 Spec'!M50,IF('DDR4 Config'!$O$1=2,'DDR4 Spec'!X50,IF('DDR4 Config'!$O$1=3,'DDR4 Spec'!AI50,'DDR4 Spec'!#REF!)))</f>
        <v>0</v>
      </c>
      <c r="N113" s="51">
        <f>IF('DDR4 Config'!$O$1=1,'DDR4 Spec'!N50,IF('DDR4 Config'!$O$1=2,'DDR4 Spec'!Y50,IF('DDR4 Config'!$O$1=3,'DDR4 Spec'!AJ50,'DDR4 Spec'!#REF!)))</f>
        <v>0</v>
      </c>
      <c r="O113" s="256">
        <f>HLOOKUP($O$70,$E$70:$N$129,44)</f>
        <v>0</v>
      </c>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32"/>
    </row>
    <row r="114" spans="2:38" ht="7.5" hidden="1" customHeight="1">
      <c r="B114" s="53"/>
      <c r="C114" s="54">
        <f t="shared" si="4"/>
        <v>101</v>
      </c>
      <c r="D114" s="451"/>
      <c r="E114" s="51">
        <f>IF('DDR4 Config'!$O$1=1,'DDR4 Spec'!E51,IF('DDR4 Config'!$O$1=2,'DDR4 Spec'!P51,IF('DDR4 Config'!$O$1=3,'DDR4 Spec'!AA51,'DDR4 Spec'!#REF!)))</f>
        <v>0</v>
      </c>
      <c r="F114" s="51">
        <f>IF('DDR4 Config'!$O$1=1,'DDR4 Spec'!F51,IF('DDR4 Config'!$O$1=2,'DDR4 Spec'!Q51,IF('DDR4 Config'!$O$1=3,'DDR4 Spec'!AB51,'DDR4 Spec'!#REF!)))</f>
        <v>0</v>
      </c>
      <c r="G114" s="51">
        <f>IF('DDR4 Config'!$O$1=1,'DDR4 Spec'!G51,IF('DDR4 Config'!$O$1=2,'DDR4 Spec'!R51,IF('DDR4 Config'!$O$1=3,'DDR4 Spec'!AC51,'DDR4 Spec'!#REF!)))</f>
        <v>0</v>
      </c>
      <c r="H114" s="51">
        <f>IF('DDR4 Config'!$O$1=1,'DDR4 Spec'!H51,IF('DDR4 Config'!$O$1=2,'DDR4 Spec'!S51,IF('DDR4 Config'!$O$1=3,'DDR4 Spec'!AD51,'DDR4 Spec'!#REF!)))</f>
        <v>0</v>
      </c>
      <c r="I114" s="51">
        <f>IF('DDR4 Config'!$O$1=1,'DDR4 Spec'!I51,IF('DDR4 Config'!$O$1=2,'DDR4 Spec'!T51,IF('DDR4 Config'!$O$1=3,'DDR4 Spec'!AE51,'DDR4 Spec'!#REF!)))</f>
        <v>0</v>
      </c>
      <c r="J114" s="51">
        <f>IF('DDR4 Config'!$O$1=1,'DDR4 Spec'!J51,IF('DDR4 Config'!$O$1=2,'DDR4 Spec'!U51,IF('DDR4 Config'!$O$1=3,'DDR4 Spec'!AF51,'DDR4 Spec'!#REF!)))</f>
        <v>0</v>
      </c>
      <c r="K114" s="51">
        <f>IF('DDR4 Config'!$O$1=1,'DDR4 Spec'!K51,IF('DDR4 Config'!$O$1=2,'DDR4 Spec'!V51,IF('DDR4 Config'!$O$1=3,'DDR4 Spec'!AG51,'DDR4 Spec'!#REF!)))</f>
        <v>0</v>
      </c>
      <c r="L114" s="51">
        <f>IF('DDR4 Config'!$O$1=1,'DDR4 Spec'!L51,IF('DDR4 Config'!$O$1=2,'DDR4 Spec'!W51,IF('DDR4 Config'!$O$1=3,'DDR4 Spec'!AH51,'DDR4 Spec'!#REF!)))</f>
        <v>0</v>
      </c>
      <c r="M114" s="51">
        <f>IF('DDR4 Config'!$O$1=1,'DDR4 Spec'!M51,IF('DDR4 Config'!$O$1=2,'DDR4 Spec'!X51,IF('DDR4 Config'!$O$1=3,'DDR4 Spec'!AI51,'DDR4 Spec'!#REF!)))</f>
        <v>0</v>
      </c>
      <c r="N114" s="51">
        <f>IF('DDR4 Config'!$O$1=1,'DDR4 Spec'!N51,IF('DDR4 Config'!$O$1=2,'DDR4 Spec'!Y51,IF('DDR4 Config'!$O$1=3,'DDR4 Spec'!AJ51,'DDR4 Spec'!#REF!)))</f>
        <v>0</v>
      </c>
      <c r="O114" s="256">
        <f>HLOOKUP($O$70,$E$70:$N$129,45)</f>
        <v>0</v>
      </c>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32"/>
    </row>
    <row r="115" spans="2:38" ht="7.5" hidden="1" customHeight="1">
      <c r="B115" s="53"/>
      <c r="C115" s="54"/>
      <c r="D115" s="53"/>
      <c r="E115" s="51"/>
      <c r="F115" s="51"/>
      <c r="G115" s="51"/>
      <c r="H115" s="51"/>
      <c r="I115" s="51"/>
      <c r="J115" s="51"/>
      <c r="K115" s="51"/>
      <c r="L115" s="51"/>
      <c r="M115" s="51"/>
      <c r="N115" s="51"/>
      <c r="O115" s="257">
        <v>46</v>
      </c>
      <c r="P115" s="51"/>
      <c r="V115" s="51"/>
      <c r="X115" s="51"/>
      <c r="Y115" s="51"/>
      <c r="Z115" s="51"/>
      <c r="AA115" s="51"/>
      <c r="AB115" s="51"/>
      <c r="AC115" s="51"/>
      <c r="AD115" s="51"/>
      <c r="AE115" s="51"/>
      <c r="AF115" s="51"/>
      <c r="AG115" s="51"/>
      <c r="AH115" s="51"/>
      <c r="AI115" s="51"/>
      <c r="AJ115" s="51"/>
      <c r="AK115" s="51"/>
      <c r="AL115" s="32"/>
    </row>
    <row r="116" spans="2:38" hidden="1">
      <c r="B116" s="53"/>
      <c r="C116" s="54"/>
      <c r="D116" s="53"/>
      <c r="E116" s="51"/>
      <c r="F116" s="51"/>
      <c r="G116" s="51"/>
      <c r="H116" s="51"/>
      <c r="I116" s="51"/>
      <c r="J116" s="51"/>
      <c r="K116" s="51"/>
      <c r="L116" s="51"/>
      <c r="M116" s="51"/>
      <c r="N116" s="51"/>
      <c r="O116" s="258">
        <v>46</v>
      </c>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32"/>
    </row>
    <row r="117" spans="2:38" ht="14.25" hidden="1">
      <c r="B117" s="53"/>
      <c r="C117" s="54"/>
      <c r="D117" s="50" t="s">
        <v>236</v>
      </c>
      <c r="E117" s="51">
        <f>IF('DDR4 Config'!$O$1=1,'DDR4 Spec'!E53,IF('DDR4 Config'!$O$1=2,'DDR4 Spec'!P53,'DDR4 Spec'!AA53))</f>
        <v>0.41566666666666668</v>
      </c>
      <c r="F117" s="200">
        <f>IF('DDR4 Config'!$O$1=1,'DDR4 Spec'!F53,IF('DDR4 Config'!$O$1=2,'DDR4 Spec'!Q53,'DDR4 Spec'!Y53))</f>
        <v>0.625</v>
      </c>
      <c r="G117" s="200">
        <f>IF('DDR4 Config'!$O$1=1,'DDR4 Spec'!G53,IF('DDR4 Config'!$O$1=2,'DDR4 Spec'!R53,'DDR4 Spec'!Z53))</f>
        <v>0</v>
      </c>
      <c r="H117" s="200">
        <f>IF('DDR4 Config'!$O$1=1,'DDR4 Spec'!H53,IF('DDR4 Config'!$O$1=2,'DDR4 Spec'!S53,'DDR4 Spec'!AA53))</f>
        <v>0.41566666666666668</v>
      </c>
      <c r="I117" s="200">
        <f>IF('DDR4 Config'!$O$1=1,'DDR4 Spec'!I53,IF('DDR4 Config'!$O$1=2,'DDR4 Spec'!T53,'DDR4 Spec'!AE53))</f>
        <v>0.83333333333333337</v>
      </c>
      <c r="J117" s="200">
        <f>IF('DDR4 Config'!$O$1=1,'DDR4 Spec'!J53,IF('DDR4 Config'!$O$1=2,'DDR4 Spec'!U53,'DDR4 Spec'!AF53))</f>
        <v>0.75018754688672173</v>
      </c>
      <c r="K117" s="200">
        <f>IF('DDR4 Config'!$O$1=1,'DDR4 Spec'!K53,IF('DDR4 Config'!$O$1=2,'DDR4 Spec'!V53,'DDR4 Spec'!AG53))</f>
        <v>0.75018754688672173</v>
      </c>
      <c r="L117" s="200">
        <f>IF('DDR4 Config'!$O$1=1,'DDR4 Spec'!L53,IF('DDR4 Config'!$O$1=2,'DDR4 Spec'!W53,'DDR4 Spec'!AH53))</f>
        <v>0.68189566996249573</v>
      </c>
      <c r="M117" s="200">
        <f>IF('DDR4 Config'!$O$1=1,'DDR4 Spec'!M53,IF('DDR4 Config'!$O$1=2,'DDR4 Spec'!X53,'DDR4 Spec'!AI53))</f>
        <v>0.68189566996249573</v>
      </c>
      <c r="N117" s="200">
        <f>IF('DDR4 Config'!$O$1=1,'DDR4 Spec'!N53,IF('DDR4 Config'!$O$1=2,'DDR4 Spec'!Y53,'DDR4 Spec'!AJ53))</f>
        <v>0.625</v>
      </c>
      <c r="O117" s="256">
        <f>HLOOKUP($O$70,$E$70:$N$129,48)</f>
        <v>0.41566666666666668</v>
      </c>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32"/>
    </row>
    <row r="118" spans="2:38" hidden="1">
      <c r="B118" s="53"/>
      <c r="C118" s="54"/>
      <c r="D118" s="452" t="s">
        <v>235</v>
      </c>
      <c r="E118" s="51">
        <f>IF('DDR4 Config'!$O$1=1,'DDR4 Spec'!E54,IF('DDR4 Config'!$O$1=2,'DDR4 Spec'!P54,'DDR4 Spec'!AA54))</f>
        <v>3.3333333333333335</v>
      </c>
      <c r="F118" s="51">
        <f>IF('DDR4 Config'!$O$1=1,'DDR4 Spec'!F54,IF('DDR4 Config'!$O$1=2,'DDR4 Spec'!Q54,'DDR4 Spec'!Y54))</f>
        <v>2.5</v>
      </c>
      <c r="G118" s="51">
        <f>IF('DDR4 Config'!$O$1=1,'DDR4 Spec'!G54,IF('DDR4 Config'!$O$1=2,'DDR4 Spec'!R54,'DDR4 Spec'!Z54))</f>
        <v>0</v>
      </c>
      <c r="H118" s="51">
        <f>IF('DDR4 Config'!$O$1=1,'DDR4 Spec'!H54,IF('DDR4 Config'!$O$1=2,'DDR4 Spec'!S54,'DDR4 Spec'!AA54))</f>
        <v>3.3333333333333335</v>
      </c>
      <c r="I118" s="51">
        <f>IF('DDR4 Config'!$O$1=1,'DDR4 Spec'!I54,IF('DDR4 Config'!$O$1=2,'DDR4 Spec'!T54,'DDR4 Spec'!AE54))</f>
        <v>3.3</v>
      </c>
      <c r="J118" s="51">
        <f>IF('DDR4 Config'!$O$1=1,'DDR4 Spec'!J54,IF('DDR4 Config'!$O$1=2,'DDR4 Spec'!U54,'DDR4 Spec'!AF54))</f>
        <v>3</v>
      </c>
      <c r="K118" s="51">
        <f>IF('DDR4 Config'!$O$1=1,'DDR4 Spec'!K54,IF('DDR4 Config'!$O$1=2,'DDR4 Spec'!V54,'DDR4 Spec'!AG54))</f>
        <v>3</v>
      </c>
      <c r="L118" s="51">
        <f>IF('DDR4 Config'!$O$1=1,'DDR4 Spec'!L54,IF('DDR4 Config'!$O$1=2,'DDR4 Spec'!W54,'DDR4 Spec'!AH54))</f>
        <v>2.7</v>
      </c>
      <c r="M118" s="51">
        <f>IF('DDR4 Config'!$O$1=1,'DDR4 Spec'!M54,IF('DDR4 Config'!$O$1=2,'DDR4 Spec'!X54,'DDR4 Spec'!AI54))</f>
        <v>2.7</v>
      </c>
      <c r="N118" s="51">
        <f>IF('DDR4 Config'!$O$1=1,'DDR4 Spec'!N54,IF('DDR4 Config'!$O$1=2,'DDR4 Spec'!Y54,'DDR4 Spec'!AJ54))</f>
        <v>2.5</v>
      </c>
      <c r="O118" s="256">
        <f>HLOOKUP($O$70,$E$70:$N$129,49)</f>
        <v>3.3333333333333335</v>
      </c>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32"/>
    </row>
    <row r="119" spans="2:38" hidden="1">
      <c r="B119" s="53"/>
      <c r="C119" s="54"/>
      <c r="D119" s="453"/>
      <c r="E119" s="51">
        <f>IF('DDR4 Config'!$O$1=1,'DDR4 Spec'!E55,IF('DDR4 Config'!$O$1=2,'DDR4 Spec'!P55,'DDR4 Spec'!AA55))</f>
        <v>3.3333333333333335</v>
      </c>
      <c r="F119" s="51">
        <f>IF('DDR4 Config'!$O$1=1,'DDR4 Spec'!F55,IF('DDR4 Config'!$O$1=2,'DDR4 Spec'!Q55,'DDR4 Spec'!Y55))</f>
        <v>2.5</v>
      </c>
      <c r="G119" s="51">
        <f>IF('DDR4 Config'!$O$1=1,'DDR4 Spec'!G55,IF('DDR4 Config'!$O$1=2,'DDR4 Spec'!R55,'DDR4 Spec'!Z55))</f>
        <v>0</v>
      </c>
      <c r="H119" s="51">
        <f>IF('DDR4 Config'!$O$1=1,'DDR4 Spec'!H55,IF('DDR4 Config'!$O$1=2,'DDR4 Spec'!S55,'DDR4 Spec'!AA55))</f>
        <v>3.3333333333333335</v>
      </c>
      <c r="I119" s="51">
        <f>IF('DDR4 Config'!$O$1=1,'DDR4 Spec'!I55,IF('DDR4 Config'!$O$1=2,'DDR4 Spec'!T55,'DDR4 Spec'!AE55))</f>
        <v>3.3</v>
      </c>
      <c r="J119" s="51">
        <f>IF('DDR4 Config'!$O$1=1,'DDR4 Spec'!J55,IF('DDR4 Config'!$O$1=2,'DDR4 Spec'!U55,'DDR4 Spec'!AF55))</f>
        <v>3</v>
      </c>
      <c r="K119" s="51">
        <f>IF('DDR4 Config'!$O$1=1,'DDR4 Spec'!K55,IF('DDR4 Config'!$O$1=2,'DDR4 Spec'!V55,'DDR4 Spec'!AG55))</f>
        <v>3</v>
      </c>
      <c r="L119" s="51">
        <f>IF('DDR4 Config'!$O$1=1,'DDR4 Spec'!L55,IF('DDR4 Config'!$O$1=2,'DDR4 Spec'!W55,'DDR4 Spec'!AH55))</f>
        <v>2.7</v>
      </c>
      <c r="M119" s="51">
        <f>IF('DDR4 Config'!$O$1=1,'DDR4 Spec'!M55,IF('DDR4 Config'!$O$1=2,'DDR4 Spec'!X55,'DDR4 Spec'!AI55))</f>
        <v>2.7</v>
      </c>
      <c r="N119" s="51">
        <f>IF('DDR4 Config'!$O$1=1,'DDR4 Spec'!N55,IF('DDR4 Config'!$O$1=2,'DDR4 Spec'!Y55,'DDR4 Spec'!AJ55))</f>
        <v>2.5</v>
      </c>
      <c r="O119" s="256">
        <f>HLOOKUP($O$70,$E$70:$N$129,50)</f>
        <v>3.3333333333333335</v>
      </c>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32"/>
    </row>
    <row r="120" spans="2:38" hidden="1">
      <c r="B120" s="53"/>
      <c r="C120" s="54"/>
      <c r="D120" s="454"/>
      <c r="E120" s="51">
        <f>IF('DDR4 Config'!$O$1=1,'DDR4 Spec'!E56,IF('DDR4 Config'!$O$1=2,'DDR4 Spec'!P56,'DDR4 Spec'!AA56))</f>
        <v>3.3333333333333335</v>
      </c>
      <c r="F120" s="51">
        <f>IF('DDR4 Config'!$O$1=1,'DDR4 Spec'!F56,IF('DDR4 Config'!$O$1=2,'DDR4 Spec'!Q56,'DDR4 Spec'!Y56))</f>
        <v>5.3</v>
      </c>
      <c r="G120" s="51">
        <f>IF('DDR4 Config'!$O$1=1,'DDR4 Spec'!G56,IF('DDR4 Config'!$O$1=2,'DDR4 Spec'!R56,'DDR4 Spec'!Z56))</f>
        <v>0</v>
      </c>
      <c r="H120" s="51">
        <f>IF('DDR4 Config'!$O$1=1,'DDR4 Spec'!H56,IF('DDR4 Config'!$O$1=2,'DDR4 Spec'!S56,'DDR4 Spec'!AA56))</f>
        <v>3.3333333333333335</v>
      </c>
      <c r="I120" s="51">
        <f>IF('DDR4 Config'!$O$1=1,'DDR4 Spec'!I56,IF('DDR4 Config'!$O$1=2,'DDR4 Spec'!T56,'DDR4 Spec'!AE56))</f>
        <v>5.3</v>
      </c>
      <c r="J120" s="51">
        <f>IF('DDR4 Config'!$O$1=1,'DDR4 Spec'!J56,IF('DDR4 Config'!$O$1=2,'DDR4 Spec'!U56,'DDR4 Spec'!AF56))</f>
        <v>5.3</v>
      </c>
      <c r="K120" s="51">
        <f>IF('DDR4 Config'!$O$1=1,'DDR4 Spec'!K56,IF('DDR4 Config'!$O$1=2,'DDR4 Spec'!V56,'DDR4 Spec'!AG56))</f>
        <v>5.3</v>
      </c>
      <c r="L120" s="51">
        <f>IF('DDR4 Config'!$O$1=1,'DDR4 Spec'!L56,IF('DDR4 Config'!$O$1=2,'DDR4 Spec'!W56,'DDR4 Spec'!AH56))</f>
        <v>5.3</v>
      </c>
      <c r="M120" s="51">
        <f>IF('DDR4 Config'!$O$1=1,'DDR4 Spec'!M56,IF('DDR4 Config'!$O$1=2,'DDR4 Spec'!X56,'DDR4 Spec'!AI56))</f>
        <v>5.3</v>
      </c>
      <c r="N120" s="51">
        <f>IF('DDR4 Config'!$O$1=1,'DDR4 Spec'!N56,IF('DDR4 Config'!$O$1=2,'DDR4 Spec'!Y56,'DDR4 Spec'!AJ56))</f>
        <v>5.3</v>
      </c>
      <c r="O120" s="256">
        <f>HLOOKUP($O$70,$E$70:$N$129,51)</f>
        <v>3.3333333333333335</v>
      </c>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32"/>
    </row>
    <row r="121" spans="2:38" hidden="1">
      <c r="B121" s="53"/>
      <c r="C121" s="54"/>
      <c r="D121" s="452" t="s">
        <v>224</v>
      </c>
      <c r="E121" s="51">
        <f>IF('DDR4 Config'!$O$1=1,'DDR4 Spec'!E57,IF('DDR4 Config'!$O$1=2,'DDR4 Spec'!P57,'DDR4 Spec'!AA57))</f>
        <v>3.3333333333333335</v>
      </c>
      <c r="F121" s="51">
        <f>IF('DDR4 Config'!$O$1=1,'DDR4 Spec'!F57,IF('DDR4 Config'!$O$1=2,'DDR4 Spec'!Q57,'DDR4 Spec'!Y57))</f>
        <v>4.9000000000000004</v>
      </c>
      <c r="G121" s="51">
        <f>IF('DDR4 Config'!$O$1=1,'DDR4 Spec'!G57,IF('DDR4 Config'!$O$1=2,'DDR4 Spec'!R57,'DDR4 Spec'!Z57))</f>
        <v>0</v>
      </c>
      <c r="H121" s="51">
        <f>IF('DDR4 Config'!$O$1=1,'DDR4 Spec'!H57,IF('DDR4 Config'!$O$1=2,'DDR4 Spec'!S57,'DDR4 Spec'!AA57))</f>
        <v>3.3333333333333335</v>
      </c>
      <c r="I121" s="51">
        <f>IF('DDR4 Config'!$O$1=1,'DDR4 Spec'!I57,IF('DDR4 Config'!$O$1=2,'DDR4 Spec'!T57,'DDR4 Spec'!AE57))</f>
        <v>4.9000000000000004</v>
      </c>
      <c r="J121" s="51">
        <f>IF('DDR4 Config'!$O$1=1,'DDR4 Spec'!J57,IF('DDR4 Config'!$O$1=2,'DDR4 Spec'!U57,'DDR4 Spec'!AF57))</f>
        <v>4.9000000000000004</v>
      </c>
      <c r="K121" s="51">
        <f>IF('DDR4 Config'!$O$1=1,'DDR4 Spec'!K57,IF('DDR4 Config'!$O$1=2,'DDR4 Spec'!V57,'DDR4 Spec'!AG57))</f>
        <v>4.9000000000000004</v>
      </c>
      <c r="L121" s="51">
        <f>IF('DDR4 Config'!$O$1=1,'DDR4 Spec'!L57,IF('DDR4 Config'!$O$1=2,'DDR4 Spec'!W57,'DDR4 Spec'!AH57))</f>
        <v>4.9000000000000004</v>
      </c>
      <c r="M121" s="51">
        <f>IF('DDR4 Config'!$O$1=1,'DDR4 Spec'!M57,IF('DDR4 Config'!$O$1=2,'DDR4 Spec'!X57,'DDR4 Spec'!AI57))</f>
        <v>4.9000000000000004</v>
      </c>
      <c r="N121" s="51">
        <f>IF('DDR4 Config'!$O$1=1,'DDR4 Spec'!N57,IF('DDR4 Config'!$O$1=2,'DDR4 Spec'!Y57,'DDR4 Spec'!AJ57))</f>
        <v>4.9000000000000004</v>
      </c>
      <c r="O121" s="256">
        <f>HLOOKUP($O$70,$E$70:$N$129,52)</f>
        <v>3.3333333333333335</v>
      </c>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32"/>
    </row>
    <row r="122" spans="2:38" hidden="1">
      <c r="B122" s="53"/>
      <c r="C122" s="54"/>
      <c r="D122" s="453"/>
      <c r="E122" s="51">
        <f>IF('DDR4 Config'!$O$1=1,'DDR4 Spec'!E58,IF('DDR4 Config'!$O$1=2,'DDR4 Spec'!P58,'DDR4 Spec'!AA58))</f>
        <v>3.3333333333333335</v>
      </c>
      <c r="F122" s="51">
        <f>IF('DDR4 Config'!$O$1=1,'DDR4 Spec'!F58,IF('DDR4 Config'!$O$1=2,'DDR4 Spec'!Q58,'DDR4 Spec'!Y58))</f>
        <v>4.9000000000000004</v>
      </c>
      <c r="G122" s="51">
        <f>IF('DDR4 Config'!$O$1=1,'DDR4 Spec'!G58,IF('DDR4 Config'!$O$1=2,'DDR4 Spec'!R58,'DDR4 Spec'!Z58))</f>
        <v>0</v>
      </c>
      <c r="H122" s="51">
        <f>IF('DDR4 Config'!$O$1=1,'DDR4 Spec'!H58,IF('DDR4 Config'!$O$1=2,'DDR4 Spec'!S58,'DDR4 Spec'!AA58))</f>
        <v>3.3333333333333335</v>
      </c>
      <c r="I122" s="51">
        <f>IF('DDR4 Config'!$O$1=1,'DDR4 Spec'!I58,IF('DDR4 Config'!$O$1=2,'DDR4 Spec'!T58,'DDR4 Spec'!AE58))</f>
        <v>4.9000000000000004</v>
      </c>
      <c r="J122" s="51">
        <f>IF('DDR4 Config'!$O$1=1,'DDR4 Spec'!J58,IF('DDR4 Config'!$O$1=2,'DDR4 Spec'!U58,'DDR4 Spec'!AF58))</f>
        <v>4.9000000000000004</v>
      </c>
      <c r="K122" s="51">
        <f>IF('DDR4 Config'!$O$1=1,'DDR4 Spec'!K58,IF('DDR4 Config'!$O$1=2,'DDR4 Spec'!V58,'DDR4 Spec'!AG58))</f>
        <v>4.9000000000000004</v>
      </c>
      <c r="L122" s="51">
        <f>IF('DDR4 Config'!$O$1=1,'DDR4 Spec'!L58,IF('DDR4 Config'!$O$1=2,'DDR4 Spec'!W58,'DDR4 Spec'!AH58))</f>
        <v>4.9000000000000004</v>
      </c>
      <c r="M122" s="51">
        <f>IF('DDR4 Config'!$O$1=1,'DDR4 Spec'!M58,IF('DDR4 Config'!$O$1=2,'DDR4 Spec'!X58,'DDR4 Spec'!AI58))</f>
        <v>4.9000000000000004</v>
      </c>
      <c r="N122" s="51">
        <f>IF('DDR4 Config'!$O$1=1,'DDR4 Spec'!N58,IF('DDR4 Config'!$O$1=2,'DDR4 Spec'!Y58,'DDR4 Spec'!AJ58))</f>
        <v>4.9000000000000004</v>
      </c>
      <c r="O122" s="256">
        <f>HLOOKUP($O$70,$E$70:$N$129,53)</f>
        <v>3.3333333333333335</v>
      </c>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32"/>
    </row>
    <row r="123" spans="2:38" hidden="1">
      <c r="B123" s="53"/>
      <c r="C123" s="54"/>
      <c r="D123" s="454"/>
      <c r="E123" s="51">
        <f>IF('DDR4 Config'!$O$1=1,'DDR4 Spec'!E59,IF('DDR4 Config'!$O$1=2,'DDR4 Spec'!P59,'DDR4 Spec'!AA59))</f>
        <v>3.3333333333333335</v>
      </c>
      <c r="F123" s="51">
        <f>IF('DDR4 Config'!$O$1=1,'DDR4 Spec'!F59,IF('DDR4 Config'!$O$1=2,'DDR4 Spec'!Q59,'DDR4 Spec'!Y59))</f>
        <v>6.4</v>
      </c>
      <c r="G123" s="51">
        <f>IF('DDR4 Config'!$O$1=1,'DDR4 Spec'!G59,IF('DDR4 Config'!$O$1=2,'DDR4 Spec'!R59,'DDR4 Spec'!Z59))</f>
        <v>0</v>
      </c>
      <c r="H123" s="51">
        <f>IF('DDR4 Config'!$O$1=1,'DDR4 Spec'!H59,IF('DDR4 Config'!$O$1=2,'DDR4 Spec'!S59,'DDR4 Spec'!AA59))</f>
        <v>3.3333333333333335</v>
      </c>
      <c r="I123" s="51">
        <f>IF('DDR4 Config'!$O$1=1,'DDR4 Spec'!I59,IF('DDR4 Config'!$O$1=2,'DDR4 Spec'!T59,'DDR4 Spec'!AE59))</f>
        <v>6.4</v>
      </c>
      <c r="J123" s="51">
        <f>IF('DDR4 Config'!$O$1=1,'DDR4 Spec'!J59,IF('DDR4 Config'!$O$1=2,'DDR4 Spec'!U59,'DDR4 Spec'!AF59))</f>
        <v>6.4</v>
      </c>
      <c r="K123" s="51">
        <f>IF('DDR4 Config'!$O$1=1,'DDR4 Spec'!K59,IF('DDR4 Config'!$O$1=2,'DDR4 Spec'!V59,'DDR4 Spec'!AG59))</f>
        <v>6.4</v>
      </c>
      <c r="L123" s="51">
        <f>IF('DDR4 Config'!$O$1=1,'DDR4 Spec'!L59,IF('DDR4 Config'!$O$1=2,'DDR4 Spec'!W59,'DDR4 Spec'!AH59))</f>
        <v>6.4</v>
      </c>
      <c r="M123" s="51">
        <f>IF('DDR4 Config'!$O$1=1,'DDR4 Spec'!M59,IF('DDR4 Config'!$O$1=2,'DDR4 Spec'!X59,'DDR4 Spec'!AI59))</f>
        <v>6.4</v>
      </c>
      <c r="N123" s="51">
        <f>IF('DDR4 Config'!$O$1=1,'DDR4 Spec'!N59,IF('DDR4 Config'!$O$1=2,'DDR4 Spec'!Y59,'DDR4 Spec'!AJ59))</f>
        <v>6.4</v>
      </c>
      <c r="O123" s="256">
        <f>HLOOKUP($O$70,$E$70:$N$129,54)</f>
        <v>3.3333333333333335</v>
      </c>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32"/>
    </row>
    <row r="124" spans="2:38" ht="16.5" hidden="1">
      <c r="B124" s="53"/>
      <c r="C124" s="54"/>
      <c r="D124" s="70" t="s">
        <v>144</v>
      </c>
      <c r="E124" s="51">
        <f>IF('DDR4 Config'!$O$1=1,'DDR4 Spec'!E60,IF('DDR4 Config'!$O$1=2,'DDR4 Spec'!P60,'DDR4 Spec'!AA60))</f>
        <v>38.24</v>
      </c>
      <c r="F124" s="51">
        <f>IF('DDR4 Config'!$O$1=1,'DDR4 Spec'!F60,IF('DDR4 Config'!$O$1=2,'DDR4 Spec'!Q60,'DDR4 Spec'!Y60))</f>
        <v>45.75</v>
      </c>
      <c r="G124" s="51">
        <f>IF('DDR4 Config'!$O$1=1,'DDR4 Spec'!G60,IF('DDR4 Config'!$O$1=2,'DDR4 Spec'!R60,'DDR4 Spec'!Z60))</f>
        <v>0</v>
      </c>
      <c r="H124" s="51">
        <f>IF('DDR4 Config'!$O$1=1,'DDR4 Spec'!H60,IF('DDR4 Config'!$O$1=2,'DDR4 Spec'!S60,'DDR4 Spec'!AA60))</f>
        <v>38.24</v>
      </c>
      <c r="I124" s="51">
        <f>IF('DDR4 Config'!$O$1=1,'DDR4 Spec'!I60,IF('DDR4 Config'!$O$1=2,'DDR4 Spec'!T60,'DDR4 Spec'!AE60))</f>
        <v>45.32</v>
      </c>
      <c r="J124" s="51">
        <f>IF('DDR4 Config'!$O$1=1,'DDR4 Spec'!J60,IF('DDR4 Config'!$O$1=2,'DDR4 Spec'!U60,'DDR4 Spec'!AF60))</f>
        <v>46.16</v>
      </c>
      <c r="K124" s="51">
        <f>IF('DDR4 Config'!$O$1=1,'DDR4 Spec'!K60,IF('DDR4 Config'!$O$1=2,'DDR4 Spec'!V60,'DDR4 Spec'!AG60))</f>
        <v>45.5</v>
      </c>
      <c r="L124" s="51">
        <f>IF('DDR4 Config'!$O$1=1,'DDR4 Spec'!L60,IF('DDR4 Config'!$O$1=2,'DDR4 Spec'!W60,'DDR4 Spec'!AH60))</f>
        <v>46.32</v>
      </c>
      <c r="M124" s="51">
        <f>IF('DDR4 Config'!$O$1=1,'DDR4 Spec'!M60,IF('DDR4 Config'!$O$1=2,'DDR4 Spec'!X60,'DDR4 Spec'!AI60))</f>
        <v>45.64</v>
      </c>
      <c r="N124" s="51">
        <f>IF('DDR4 Config'!$O$1=1,'DDR4 Spec'!N60,IF('DDR4 Config'!$O$1=2,'DDR4 Spec'!Y60,'DDR4 Spec'!AJ60))</f>
        <v>45.75</v>
      </c>
      <c r="O124" s="256">
        <f>HLOOKUP($O$70,$E$70:$N$129,55)</f>
        <v>38.24</v>
      </c>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32"/>
    </row>
    <row r="125" spans="2:38" ht="16.5" hidden="1">
      <c r="B125" s="53"/>
      <c r="C125" s="54"/>
      <c r="D125" s="70" t="s">
        <v>145</v>
      </c>
      <c r="E125" s="51">
        <f>IF('DDR4 Config'!$O$1=1,'DDR4 Spec'!E61,IF('DDR4 Config'!$O$1=2,'DDR4 Spec'!P61,'DDR4 Spec'!AA61))</f>
        <v>21.61</v>
      </c>
      <c r="F125" s="51">
        <f>IF('DDR4 Config'!$O$1=1,'DDR4 Spec'!F61,IF('DDR4 Config'!$O$1=2,'DDR4 Spec'!Q61,'DDR4 Spec'!Y61))</f>
        <v>32</v>
      </c>
      <c r="G125" s="51">
        <f>IF('DDR4 Config'!$O$1=1,'DDR4 Spec'!G61,IF('DDR4 Config'!$O$1=2,'DDR4 Spec'!R61,'DDR4 Spec'!Z61))</f>
        <v>0</v>
      </c>
      <c r="H125" s="51">
        <f>IF('DDR4 Config'!$O$1=1,'DDR4 Spec'!H61,IF('DDR4 Config'!$O$1=2,'DDR4 Spec'!S61,'DDR4 Spec'!AA61))</f>
        <v>21.61</v>
      </c>
      <c r="I125" s="51">
        <f>IF('DDR4 Config'!$O$1=1,'DDR4 Spec'!I61,IF('DDR4 Config'!$O$1=2,'DDR4 Spec'!T61,'DDR4 Spec'!AE61))</f>
        <v>32</v>
      </c>
      <c r="J125" s="51">
        <f>IF('DDR4 Config'!$O$1=1,'DDR4 Spec'!J61,IF('DDR4 Config'!$O$1=2,'DDR4 Spec'!U61,'DDR4 Spec'!AF61))</f>
        <v>32</v>
      </c>
      <c r="K125" s="51">
        <f>IF('DDR4 Config'!$O$1=1,'DDR4 Spec'!K61,IF('DDR4 Config'!$O$1=2,'DDR4 Spec'!V61,'DDR4 Spec'!AG61))</f>
        <v>32</v>
      </c>
      <c r="L125" s="51">
        <f>IF('DDR4 Config'!$O$1=1,'DDR4 Spec'!L61,IF('DDR4 Config'!$O$1=2,'DDR4 Spec'!W61,'DDR4 Spec'!AH61))</f>
        <v>32</v>
      </c>
      <c r="M125" s="51">
        <f>IF('DDR4 Config'!$O$1=1,'DDR4 Spec'!M61,IF('DDR4 Config'!$O$1=2,'DDR4 Spec'!X61,'DDR4 Spec'!AI61))</f>
        <v>32</v>
      </c>
      <c r="N125" s="51">
        <f>IF('DDR4 Config'!$O$1=1,'DDR4 Spec'!N61,IF('DDR4 Config'!$O$1=2,'DDR4 Spec'!Y61,'DDR4 Spec'!AJ61))</f>
        <v>32</v>
      </c>
      <c r="O125" s="256">
        <f>HLOOKUP($O$70,$E$70:$N$129,56)</f>
        <v>21.61</v>
      </c>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32"/>
    </row>
    <row r="126" spans="2:38" ht="16.5" hidden="1">
      <c r="B126" s="53"/>
      <c r="C126" s="54"/>
      <c r="D126" s="70" t="s">
        <v>147</v>
      </c>
      <c r="E126" s="51">
        <f>IF('DDR4 Config'!$O$1=1,'DDR4 Spec'!E62,IF('DDR4 Config'!$O$1=2,'DDR4 Spec'!P62,'DDR4 Spec'!AA62))</f>
        <v>170.42</v>
      </c>
      <c r="F126" s="51">
        <f>IF('DDR4 Config'!$O$1=1,'DDR4 Spec'!F62,IF('DDR4 Config'!$O$1=2,'DDR4 Spec'!Q62,'DDR4 Spec'!Y62))</f>
        <v>350</v>
      </c>
      <c r="G126" s="51">
        <f>IF('DDR4 Config'!$O$1=1,'DDR4 Spec'!G62,IF('DDR4 Config'!$O$1=2,'DDR4 Spec'!R62,'DDR4 Spec'!Z62))</f>
        <v>0</v>
      </c>
      <c r="H126" s="51">
        <f>IF('DDR4 Config'!$O$1=1,'DDR4 Spec'!H62,IF('DDR4 Config'!$O$1=2,'DDR4 Spec'!S62,'DDR4 Spec'!AA62))</f>
        <v>170.42</v>
      </c>
      <c r="I126" s="51">
        <f>IF('DDR4 Config'!$O$1=1,'DDR4 Spec'!I62,IF('DDR4 Config'!$O$1=2,'DDR4 Spec'!T62,'DDR4 Spec'!AE62))</f>
        <v>350</v>
      </c>
      <c r="J126" s="51">
        <f>IF('DDR4 Config'!$O$1=1,'DDR4 Spec'!J62,IF('DDR4 Config'!$O$1=2,'DDR4 Spec'!U62,'DDR4 Spec'!AF62))</f>
        <v>350</v>
      </c>
      <c r="K126" s="51">
        <f>IF('DDR4 Config'!$O$1=1,'DDR4 Spec'!K62,IF('DDR4 Config'!$O$1=2,'DDR4 Spec'!V62,'DDR4 Spec'!AG62))</f>
        <v>350</v>
      </c>
      <c r="L126" s="51">
        <f>IF('DDR4 Config'!$O$1=1,'DDR4 Spec'!L62,IF('DDR4 Config'!$O$1=2,'DDR4 Spec'!W62,'DDR4 Spec'!AH62))</f>
        <v>350</v>
      </c>
      <c r="M126" s="51">
        <f>IF('DDR4 Config'!$O$1=1,'DDR4 Spec'!M62,IF('DDR4 Config'!$O$1=2,'DDR4 Spec'!X62,'DDR4 Spec'!AI62))</f>
        <v>350</v>
      </c>
      <c r="N126" s="51">
        <f>IF('DDR4 Config'!$O$1=1,'DDR4 Spec'!N62,IF('DDR4 Config'!$O$1=2,'DDR4 Spec'!Y62,'DDR4 Spec'!AJ62))</f>
        <v>350</v>
      </c>
      <c r="O126" s="256">
        <f>HLOOKUP($O$70,$E$70:$N$129,57)</f>
        <v>170.42</v>
      </c>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32"/>
    </row>
    <row r="127" spans="2:38" ht="16.5" hidden="1">
      <c r="B127" s="53"/>
      <c r="C127" s="54"/>
      <c r="D127" s="70" t="s">
        <v>148</v>
      </c>
      <c r="E127" s="51">
        <f>IF('DDR4 Config'!$O$1=1,'DDR4 Spec'!E63,IF('DDR4 Config'!$O$1=2,'DDR4 Spec'!P63,'DDR4 Spec'!AA63))</f>
        <v>12.47</v>
      </c>
      <c r="F127" s="51">
        <f>IF('DDR4 Config'!$O$1=1,'DDR4 Spec'!F63,IF('DDR4 Config'!$O$1=2,'DDR4 Spec'!Q63,'DDR4 Spec'!Y63))</f>
        <v>7.8</v>
      </c>
      <c r="G127" s="51">
        <f>IF('DDR4 Config'!$O$1=1,'DDR4 Spec'!G63,IF('DDR4 Config'!$O$1=2,'DDR4 Spec'!R63,'DDR4 Spec'!Z63))</f>
        <v>0</v>
      </c>
      <c r="H127" s="51">
        <f>IF('DDR4 Config'!$O$1=1,'DDR4 Spec'!H63,IF('DDR4 Config'!$O$1=2,'DDR4 Spec'!S63,'DDR4 Spec'!AA63))</f>
        <v>12.47</v>
      </c>
      <c r="I127" s="51">
        <f>IF('DDR4 Config'!$O$1=1,'DDR4 Spec'!I63,IF('DDR4 Config'!$O$1=2,'DDR4 Spec'!T63,'DDR4 Spec'!AE63))</f>
        <v>7.8</v>
      </c>
      <c r="J127" s="51">
        <f>IF('DDR4 Config'!$O$1=1,'DDR4 Spec'!J63,IF('DDR4 Config'!$O$1=2,'DDR4 Spec'!U63,'DDR4 Spec'!AF63))</f>
        <v>7.8</v>
      </c>
      <c r="K127" s="51">
        <f>IF('DDR4 Config'!$O$1=1,'DDR4 Spec'!K63,IF('DDR4 Config'!$O$1=2,'DDR4 Spec'!V63,'DDR4 Spec'!AG63))</f>
        <v>7.8</v>
      </c>
      <c r="L127" s="51">
        <f>IF('DDR4 Config'!$O$1=1,'DDR4 Spec'!L63,IF('DDR4 Config'!$O$1=2,'DDR4 Spec'!W63,'DDR4 Spec'!AH63))</f>
        <v>7.8</v>
      </c>
      <c r="M127" s="51">
        <f>IF('DDR4 Config'!$O$1=1,'DDR4 Spec'!M63,IF('DDR4 Config'!$O$1=2,'DDR4 Spec'!X63,'DDR4 Spec'!AI63))</f>
        <v>7.8</v>
      </c>
      <c r="N127" s="51">
        <f>IF('DDR4 Config'!$O$1=1,'DDR4 Spec'!N63,IF('DDR4 Config'!$O$1=2,'DDR4 Spec'!Y63,'DDR4 Spec'!AJ63))</f>
        <v>7.8</v>
      </c>
      <c r="O127" s="256">
        <f>HLOOKUP($O$70,$E$70:$N$129,58)</f>
        <v>12.47</v>
      </c>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32"/>
    </row>
    <row r="128" spans="2:38" ht="16.5" hidden="1">
      <c r="B128" s="53"/>
      <c r="C128" s="54"/>
      <c r="D128" s="70" t="s">
        <v>149</v>
      </c>
      <c r="E128" s="51">
        <f>IF('DDR4 Config'!$O$1=1,'DDR4 Spec'!E64,IF('DDR4 Config'!$O$1=2,'DDR4 Spec'!P64,'DDR4 Spec'!AA64))</f>
        <v>0.41566666666666668</v>
      </c>
      <c r="F128" s="200">
        <f>IF('DDR4 Config'!$O$1=1,'DDR4 Spec'!F64,IF('DDR4 Config'!$O$1=2,'DDR4 Spec'!Q64,'DDR4 Spec'!Y64))</f>
        <v>0.625</v>
      </c>
      <c r="G128" s="200">
        <f>IF('DDR4 Config'!$O$1=1,'DDR4 Spec'!G64,IF('DDR4 Config'!$O$1=2,'DDR4 Spec'!R64,'DDR4 Spec'!Z64))</f>
        <v>0</v>
      </c>
      <c r="H128" s="200">
        <f>IF('DDR4 Config'!$O$1=1,'DDR4 Spec'!H64,IF('DDR4 Config'!$O$1=2,'DDR4 Spec'!S64,'DDR4 Spec'!AA64))</f>
        <v>0.41566666666666668</v>
      </c>
      <c r="I128" s="200">
        <f>IF('DDR4 Config'!$O$1=1,'DDR4 Spec'!I64,IF('DDR4 Config'!$O$1=2,'DDR4 Spec'!T64,'DDR4 Spec'!AE64))</f>
        <v>0.83333333333333337</v>
      </c>
      <c r="J128" s="200">
        <f>IF('DDR4 Config'!$O$1=1,'DDR4 Spec'!J64,IF('DDR4 Config'!$O$1=2,'DDR4 Spec'!U64,'DDR4 Spec'!AF64))</f>
        <v>0.75018754688672173</v>
      </c>
      <c r="K128" s="200">
        <f>IF('DDR4 Config'!$O$1=1,'DDR4 Spec'!K64,IF('DDR4 Config'!$O$1=2,'DDR4 Spec'!V64,'DDR4 Spec'!AG64))</f>
        <v>0.75018754688672173</v>
      </c>
      <c r="L128" s="200">
        <f>IF('DDR4 Config'!$O$1=1,'DDR4 Spec'!L64,IF('DDR4 Config'!$O$1=2,'DDR4 Spec'!W64,'DDR4 Spec'!AH64))</f>
        <v>0.68189566996249573</v>
      </c>
      <c r="M128" s="200">
        <f>IF('DDR4 Config'!$O$1=1,'DDR4 Spec'!M64,IF('DDR4 Config'!$O$1=2,'DDR4 Spec'!X64,'DDR4 Spec'!AI64))</f>
        <v>0.68189566996249573</v>
      </c>
      <c r="N128" s="200">
        <f>IF('DDR4 Config'!$O$1=1,'DDR4 Spec'!N64,IF('DDR4 Config'!$O$1=2,'DDR4 Spec'!Y64,'DDR4 Spec'!AJ64))</f>
        <v>0.625</v>
      </c>
      <c r="O128" s="256">
        <f>HLOOKUP($O$70,$E$70:$N$129,59)</f>
        <v>0.41566666666666668</v>
      </c>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32"/>
    </row>
    <row r="129" spans="2:38" ht="16.5" hidden="1">
      <c r="B129" s="53"/>
      <c r="C129" s="54"/>
      <c r="D129" s="70" t="s">
        <v>151</v>
      </c>
      <c r="E129" s="51">
        <f>IF('DDR4 Config'!$O$1=1,'DDR4 Spec'!E65,IF('DDR4 Config'!$O$1=2,'DDR4 Spec'!P65,'DDR4 Spec'!AA65))</f>
        <v>1.9</v>
      </c>
      <c r="F129" s="51">
        <f>IF('DDR4 Config'!$O$1=1,'DDR4 Spec'!F65,IF('DDR4 Config'!$O$1=2,'DDR4 Spec'!Q65,'DDR4 Spec'!Y65))</f>
        <v>1.9</v>
      </c>
      <c r="G129" s="51">
        <f>IF('DDR4 Config'!$O$1=1,'DDR4 Spec'!G65,IF('DDR4 Config'!$O$1=2,'DDR4 Spec'!R65,'DDR4 Spec'!Z65))</f>
        <v>0</v>
      </c>
      <c r="H129" s="51">
        <f>IF('DDR4 Config'!$O$1=1,'DDR4 Spec'!H65,IF('DDR4 Config'!$O$1=2,'DDR4 Spec'!S65,'DDR4 Spec'!AA65))</f>
        <v>1.9</v>
      </c>
      <c r="I129" s="51">
        <f>IF('DDR4 Config'!$O$1=1,'DDR4 Spec'!I65,IF('DDR4 Config'!$O$1=2,'DDR4 Spec'!T65,'DDR4 Spec'!AE65))</f>
        <v>1.9</v>
      </c>
      <c r="J129" s="51">
        <f>IF('DDR4 Config'!$O$1=1,'DDR4 Spec'!J65,IF('DDR4 Config'!$O$1=2,'DDR4 Spec'!U65,'DDR4 Spec'!AF65))</f>
        <v>1.9</v>
      </c>
      <c r="K129" s="51">
        <f>IF('DDR4 Config'!$O$1=1,'DDR4 Spec'!K65,IF('DDR4 Config'!$O$1=2,'DDR4 Spec'!V65,'DDR4 Spec'!AG65))</f>
        <v>1.9</v>
      </c>
      <c r="L129" s="51">
        <f>IF('DDR4 Config'!$O$1=1,'DDR4 Spec'!L65,IF('DDR4 Config'!$O$1=2,'DDR4 Spec'!W65,'DDR4 Spec'!AH65))</f>
        <v>1.9</v>
      </c>
      <c r="M129" s="51">
        <f>IF('DDR4 Config'!$O$1=1,'DDR4 Spec'!M65,IF('DDR4 Config'!$O$1=2,'DDR4 Spec'!X65,'DDR4 Spec'!AI65))</f>
        <v>1.9</v>
      </c>
      <c r="N129" s="51">
        <f>IF('DDR4 Config'!$O$1=1,'DDR4 Spec'!N65,IF('DDR4 Config'!$O$1=2,'DDR4 Spec'!Y65,'DDR4 Spec'!AJ65))</f>
        <v>1.9</v>
      </c>
      <c r="O129" s="256">
        <f>HLOOKUP($O$70,$E$70:$N$129,60)</f>
        <v>1.9</v>
      </c>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32"/>
    </row>
    <row r="130" spans="2:38" ht="7.5" hidden="1" customHeight="1" thickBot="1">
      <c r="B130" s="53"/>
      <c r="C130" s="54"/>
      <c r="D130" s="53"/>
      <c r="E130" s="53"/>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32"/>
    </row>
    <row r="131" spans="2:38" hidden="1">
      <c r="B131" s="55" t="s">
        <v>41</v>
      </c>
      <c r="C131" s="56" t="s">
        <v>42</v>
      </c>
      <c r="D131" s="53"/>
      <c r="E131" s="53"/>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32"/>
    </row>
    <row r="132" spans="2:38" ht="14.25" hidden="1">
      <c r="B132" s="50" t="s">
        <v>351</v>
      </c>
      <c r="C132" s="186" t="s">
        <v>357</v>
      </c>
      <c r="D132" s="187">
        <f>O71</f>
        <v>1.26</v>
      </c>
      <c r="E132" s="53"/>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32"/>
    </row>
    <row r="133" spans="2:38" ht="14.25" hidden="1">
      <c r="B133" s="50" t="s">
        <v>352</v>
      </c>
      <c r="C133" s="186" t="s">
        <v>358</v>
      </c>
      <c r="D133" s="187">
        <f>O72</f>
        <v>1.1399999999999999</v>
      </c>
      <c r="E133" s="53"/>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32"/>
    </row>
    <row r="134" spans="2:38" ht="14.25" hidden="1">
      <c r="B134" s="50" t="s">
        <v>353</v>
      </c>
      <c r="C134" s="186" t="s">
        <v>247</v>
      </c>
      <c r="D134" s="187">
        <f>O73</f>
        <v>2.75</v>
      </c>
      <c r="E134" s="53"/>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32"/>
    </row>
    <row r="135" spans="2:38" ht="14.25" hidden="1">
      <c r="B135" s="50" t="s">
        <v>354</v>
      </c>
      <c r="C135" s="186" t="s">
        <v>248</v>
      </c>
      <c r="D135" s="187">
        <f>O74</f>
        <v>2.375</v>
      </c>
      <c r="E135" s="53"/>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32"/>
    </row>
    <row r="136" spans="2:38" hidden="1">
      <c r="B136" s="47"/>
      <c r="C136" s="48"/>
      <c r="D136" s="187"/>
      <c r="E136" s="53"/>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32"/>
    </row>
    <row r="137" spans="2:38" hidden="1">
      <c r="B137" s="47" t="s">
        <v>130</v>
      </c>
      <c r="C137" s="48" t="s">
        <v>66</v>
      </c>
      <c r="D137" s="187">
        <f>IF('DDR4 Config'!S1=3,'DDR4 Spec'!O78,    IF('DDR4 Config'!S1=2, 'DDR4 Spec'!O77,      IF('DDR4 Config'!S1=1, 'DDR4 Spec'!O76,"error")          )             )</f>
        <v>0</v>
      </c>
      <c r="E137" s="53"/>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32"/>
    </row>
    <row r="138" spans="2:38" hidden="1">
      <c r="B138" s="185" t="s">
        <v>245</v>
      </c>
      <c r="C138" s="186" t="s">
        <v>267</v>
      </c>
      <c r="D138" s="188">
        <f>IF('DDR4 Config'!S1=3,'DDR4 Spec'!O81,    IF('DDR4 Config'!S1=2, 'DDR4 Spec'!O80,      IF('DDR4 Config'!S1=1, 'DDR4 Spec'!O79,"error")          )             )</f>
        <v>0</v>
      </c>
      <c r="E138" s="53"/>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32"/>
    </row>
    <row r="139" spans="2:38" hidden="1">
      <c r="B139" s="47" t="s">
        <v>131</v>
      </c>
      <c r="C139" s="48" t="s">
        <v>16</v>
      </c>
      <c r="D139" s="187">
        <f>IF('DDR4 Config'!S1=3,'DDR4 Spec'!O84,    IF('DDR4 Config'!S1=2, 'DDR4 Spec'!O83,      IF('DDR4 Config'!S1=1, 'DDR4 Spec'!O82,"error")          )             )</f>
        <v>0</v>
      </c>
      <c r="E139" s="53"/>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32"/>
    </row>
    <row r="140" spans="2:38" hidden="1">
      <c r="B140" s="47" t="s">
        <v>132</v>
      </c>
      <c r="C140" s="48" t="s">
        <v>17</v>
      </c>
      <c r="D140" s="187">
        <f>IF('DDR4 Config'!S1=3,'DDR4 Spec'!O87,    IF('DDR4 Config'!S1=2, 'DDR4 Spec'!O86,      IF('DDR4 Config'!S1=1, 'DDR4 Spec'!O85,"error")          )             )</f>
        <v>0</v>
      </c>
      <c r="E140" s="53"/>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32"/>
    </row>
    <row r="141" spans="2:38" hidden="1">
      <c r="B141" s="185"/>
      <c r="C141" s="186"/>
      <c r="D141" s="188"/>
      <c r="E141" s="53"/>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32"/>
    </row>
    <row r="142" spans="2:38" hidden="1">
      <c r="B142" s="185" t="s">
        <v>133</v>
      </c>
      <c r="C142" s="48" t="s">
        <v>18</v>
      </c>
      <c r="D142" s="187">
        <f>IF('DDR4 Config'!S1=3,'DDR4 Spec'!O90,    IF('DDR4 Config'!S1=2, 'DDR4 Spec'!O89,      IF('DDR4 Config'!S1=1, 'DDR4 Spec'!O88,"error")          )             )</f>
        <v>0</v>
      </c>
      <c r="E142" s="53"/>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32"/>
    </row>
    <row r="143" spans="2:38" hidden="1">
      <c r="B143" s="47" t="s">
        <v>134</v>
      </c>
      <c r="C143" s="48" t="s">
        <v>19</v>
      </c>
      <c r="D143" s="187">
        <f>IF('DDR4 Config'!S1=3,'DDR4 Spec'!O93,    IF('DDR4 Config'!S1=2, 'DDR4 Spec'!O92,      IF('DDR4 Config'!S1=1, 'DDR4 Spec'!O91,"error")          )             )</f>
        <v>0</v>
      </c>
      <c r="E143" s="53"/>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32"/>
    </row>
    <row r="144" spans="2:38" hidden="1">
      <c r="B144" s="185" t="s">
        <v>244</v>
      </c>
      <c r="C144" s="186" t="s">
        <v>268</v>
      </c>
      <c r="D144" s="187">
        <f>IF('DDR4 Config'!S1=3,'DDR4 Spec'!O96,    IF('DDR4 Config'!S1=2, 'DDR4 Spec'!O95,      IF('DDR4 Config'!S1=1, 'DDR4 Spec'!O94,"error")          )             )</f>
        <v>0</v>
      </c>
      <c r="E144" s="53"/>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32"/>
    </row>
    <row r="145" spans="2:38" hidden="1">
      <c r="B145" s="47" t="s">
        <v>135</v>
      </c>
      <c r="C145" s="48" t="s">
        <v>20</v>
      </c>
      <c r="D145" s="187">
        <f>IF('DDR4 Config'!S1=3,'DDR4 Spec'!O99,    IF('DDR4 Config'!S1=2, 'DDR4 Spec'!O98,      IF('DDR4 Config'!S1=1, 'DDR4 Spec'!O97,"error")          )             )</f>
        <v>0</v>
      </c>
      <c r="E145" s="53"/>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32"/>
    </row>
    <row r="146" spans="2:38" hidden="1">
      <c r="B146" s="185" t="s">
        <v>336</v>
      </c>
      <c r="C146" s="48" t="s">
        <v>20</v>
      </c>
      <c r="D146" s="187">
        <f>IF('DDR4 Config'!S1=3,'DDR4 Spec'!O102,    IF('DDR4 Config'!S1=2, 'DDR4 Spec'!O101,      IF('DDR4 Config'!S1=1, 'DDR4 Spec'!O100,"error")          )             )</f>
        <v>0</v>
      </c>
      <c r="E146" s="53"/>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32"/>
    </row>
    <row r="147" spans="2:38" hidden="1">
      <c r="B147" s="185" t="s">
        <v>136</v>
      </c>
      <c r="C147" s="48" t="s">
        <v>21</v>
      </c>
      <c r="D147" s="187">
        <f>IF('DDR4 Config'!S1=3,'DDR4 Spec'!O105,    IF('DDR4 Config'!S1=2, 'DDR4 Spec'!O104,      IF('DDR4 Config'!S1=1, 'DDR4 Spec'!O103,"error")          )             )</f>
        <v>0</v>
      </c>
      <c r="E147" s="53"/>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32"/>
    </row>
    <row r="148" spans="2:38" hidden="1">
      <c r="B148" s="185" t="s">
        <v>335</v>
      </c>
      <c r="C148" s="48" t="s">
        <v>21</v>
      </c>
      <c r="D148" s="187">
        <f>IF('DDR4 Config'!S1=3,'DDR4 Spec'!O108,    IF('DDR4 Config'!S1=2, 'DDR4 Spec'!O107,      IF('DDR4 Config'!S1=1, 'DDR4 Spec'!O106,"error")          )             )</f>
        <v>0</v>
      </c>
      <c r="E148" s="53"/>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32"/>
    </row>
    <row r="149" spans="2:38" hidden="1">
      <c r="B149" s="304" t="str">
        <f>B46</f>
        <v>IDD5R</v>
      </c>
      <c r="C149" s="186" t="str">
        <f>C46</f>
        <v>Maximum distriuted refresh current</v>
      </c>
      <c r="D149" s="187">
        <f>IF('DDR4 Config'!S1=3,'DDR4 Spec'!O111,    IF('DDR4 Config'!S1=2, 'DDR4 Spec'!O110,      IF('DDR4 Config'!S1=1, 'DDR4 Spec'!O109,"error")          )             )</f>
        <v>0</v>
      </c>
      <c r="E149" s="53"/>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32"/>
    </row>
    <row r="150" spans="2:38" hidden="1">
      <c r="B150" s="304" t="str">
        <f>B49</f>
        <v>IPP5R</v>
      </c>
      <c r="C150" s="186" t="str">
        <f>C49</f>
        <v>Maximum distriuted refresh current</v>
      </c>
      <c r="D150" s="187">
        <f>IF('DDR4 Config'!S1=3,'DDR4 Spec'!O114,    IF('DDR4 Config'!S1=2, 'DDR4 Spec'!O113,      IF('DDR4 Config'!S1=1, 'DDR4 Spec'!O112,"error")          )             )</f>
        <v>0</v>
      </c>
      <c r="E150" s="53"/>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32"/>
    </row>
    <row r="151" spans="2:38" hidden="1">
      <c r="B151" s="47"/>
      <c r="C151" s="48"/>
      <c r="D151" s="187"/>
      <c r="E151" s="53"/>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32"/>
    </row>
    <row r="152" spans="2:38" ht="14.25" hidden="1">
      <c r="B152" s="185" t="s">
        <v>229</v>
      </c>
      <c r="C152" s="52" t="s">
        <v>230</v>
      </c>
      <c r="D152" s="187">
        <f>O117</f>
        <v>0.41566666666666668</v>
      </c>
      <c r="E152" s="53"/>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32"/>
    </row>
    <row r="153" spans="2:38" ht="14.25" hidden="1">
      <c r="B153" s="57" t="s">
        <v>231</v>
      </c>
      <c r="C153" s="186" t="s">
        <v>233</v>
      </c>
      <c r="D153" s="187">
        <f>IF('DDR4 Config'!S1=3,'DDR4 Spec'!O120,    IF('DDR4 Config'!S1=2, 'DDR4 Spec'!O119,      IF('DDR4 Config'!S1=1, 'DDR4 Spec'!O118,"error")          )             )</f>
        <v>3.3333333333333335</v>
      </c>
      <c r="E153" s="53"/>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32"/>
    </row>
    <row r="154" spans="2:38" ht="14.25" hidden="1">
      <c r="B154" s="57" t="s">
        <v>232</v>
      </c>
      <c r="C154" s="186" t="s">
        <v>234</v>
      </c>
      <c r="D154" s="187">
        <f>IF('DDR4 Config'!S1=3,'DDR4 Spec'!O123,    IF('DDR4 Config'!S1=2, 'DDR4 Spec'!O122,      IF('DDR4 Config'!S1=1, 'DDR4 Spec'!O121,"error")          )             )</f>
        <v>3.3333333333333335</v>
      </c>
      <c r="E154" s="53"/>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32"/>
    </row>
    <row r="155" spans="2:38" ht="14.25" hidden="1">
      <c r="B155" s="57" t="s">
        <v>137</v>
      </c>
      <c r="C155" s="48" t="s">
        <v>1</v>
      </c>
      <c r="D155" s="187">
        <f t="shared" ref="D155:D160" si="7">O124</f>
        <v>38.24</v>
      </c>
      <c r="E155" s="53"/>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32"/>
    </row>
    <row r="156" spans="2:38" ht="14.25" hidden="1">
      <c r="B156" s="57" t="s">
        <v>138</v>
      </c>
      <c r="C156" s="48" t="s">
        <v>23</v>
      </c>
      <c r="D156" s="187">
        <f t="shared" si="7"/>
        <v>21.61</v>
      </c>
      <c r="E156" s="53"/>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32"/>
    </row>
    <row r="157" spans="2:38" ht="14.25" hidden="1">
      <c r="B157" s="57" t="s">
        <v>142</v>
      </c>
      <c r="C157" s="48" t="s">
        <v>73</v>
      </c>
      <c r="D157" s="187">
        <f t="shared" si="7"/>
        <v>170.42</v>
      </c>
      <c r="E157" s="53"/>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32"/>
    </row>
    <row r="158" spans="2:38" ht="14.25" hidden="1">
      <c r="B158" s="57" t="s">
        <v>139</v>
      </c>
      <c r="C158" s="48" t="s">
        <v>74</v>
      </c>
      <c r="D158" s="187">
        <f t="shared" si="7"/>
        <v>12.47</v>
      </c>
      <c r="E158" s="53"/>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32"/>
    </row>
    <row r="159" spans="2:38" ht="14.25" hidden="1">
      <c r="B159" s="47" t="s">
        <v>75</v>
      </c>
      <c r="C159" s="48" t="s">
        <v>140</v>
      </c>
      <c r="D159" s="187">
        <f t="shared" si="7"/>
        <v>0.41566666666666668</v>
      </c>
      <c r="E159" s="53"/>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32"/>
    </row>
    <row r="160" spans="2:38" ht="15" hidden="1" thickBot="1">
      <c r="B160" s="58" t="s">
        <v>76</v>
      </c>
      <c r="C160" s="59" t="s">
        <v>141</v>
      </c>
      <c r="D160" s="187">
        <f t="shared" si="7"/>
        <v>1.9</v>
      </c>
      <c r="E160" s="53"/>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32"/>
    </row>
    <row r="161" spans="2:38" ht="7.5" hidden="1" customHeight="1">
      <c r="B161" s="53"/>
      <c r="C161" s="54"/>
      <c r="D161" s="53"/>
      <c r="E161" s="53"/>
      <c r="F161" s="51"/>
      <c r="G161" s="51"/>
      <c r="H161" s="51"/>
      <c r="I161" s="5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32"/>
    </row>
    <row r="162" spans="2:38" ht="7.5" hidden="1" customHeight="1">
      <c r="B162" s="53"/>
      <c r="C162" s="54"/>
      <c r="D162" s="53"/>
      <c r="E162" s="53"/>
      <c r="F162" s="51"/>
      <c r="G162" s="51"/>
      <c r="H162" s="51"/>
      <c r="I162" s="5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32"/>
    </row>
    <row r="163" spans="2:38" ht="7.5" hidden="1" customHeight="1">
      <c r="B163" s="53"/>
      <c r="C163" s="54"/>
      <c r="D163" s="53"/>
      <c r="E163" s="53"/>
      <c r="F163" s="51"/>
      <c r="G163" s="51"/>
      <c r="H163" s="51"/>
      <c r="I163" s="5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32"/>
    </row>
    <row r="164" spans="2:38" ht="7.5" hidden="1" customHeight="1">
      <c r="B164" s="53" t="s">
        <v>124</v>
      </c>
      <c r="C164" s="54"/>
      <c r="D164" s="53"/>
      <c r="E164" s="53"/>
      <c r="F164" s="51"/>
      <c r="G164" s="51"/>
      <c r="H164" s="51"/>
      <c r="I164" s="5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32"/>
    </row>
    <row r="165" spans="2:38" ht="18.75" customHeight="1">
      <c r="B165" s="32"/>
      <c r="C165" s="33"/>
      <c r="D165" s="32"/>
      <c r="E165" s="32"/>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2"/>
    </row>
    <row r="166" spans="2:38" ht="18.75" customHeight="1"/>
    <row r="167" spans="2:38" ht="18.75" customHeight="1"/>
    <row r="168" spans="2:38" ht="12.75" customHeight="1"/>
    <row r="169" spans="2:38" ht="12.75" customHeight="1"/>
    <row r="170" spans="2:38" ht="12.75" customHeight="1"/>
    <row r="171" spans="2:38" ht="12.75" customHeight="1"/>
    <row r="172" spans="2:38" ht="12.75" customHeight="1"/>
    <row r="173" spans="2:38" ht="12.75" customHeight="1"/>
    <row r="174" spans="2:38" ht="12.75" customHeight="1"/>
    <row r="175" spans="2:38" ht="12.75" customHeight="1"/>
    <row r="176" spans="2:38"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sheetData>
  <mergeCells count="60">
    <mergeCell ref="C22:C24"/>
    <mergeCell ref="C54:C56"/>
    <mergeCell ref="B49:B51"/>
    <mergeCell ref="C49:C51"/>
    <mergeCell ref="C25:C27"/>
    <mergeCell ref="C34:C36"/>
    <mergeCell ref="C43:C45"/>
    <mergeCell ref="B28:B30"/>
    <mergeCell ref="B37:B39"/>
    <mergeCell ref="C37:C39"/>
    <mergeCell ref="C28:C30"/>
    <mergeCell ref="B25:B27"/>
    <mergeCell ref="B34:B36"/>
    <mergeCell ref="B31:B33"/>
    <mergeCell ref="C31:C33"/>
    <mergeCell ref="B13:B15"/>
    <mergeCell ref="B19:B21"/>
    <mergeCell ref="B16:B18"/>
    <mergeCell ref="C16:C18"/>
    <mergeCell ref="C19:C21"/>
    <mergeCell ref="B5:D5"/>
    <mergeCell ref="C7:D7"/>
    <mergeCell ref="C8:D8"/>
    <mergeCell ref="C9:D9"/>
    <mergeCell ref="C10:D10"/>
    <mergeCell ref="D82:D84"/>
    <mergeCell ref="C64:D64"/>
    <mergeCell ref="C65:D65"/>
    <mergeCell ref="C63:D63"/>
    <mergeCell ref="B68:AL68"/>
    <mergeCell ref="D79:D81"/>
    <mergeCell ref="D76:D78"/>
    <mergeCell ref="D109:D111"/>
    <mergeCell ref="D121:D123"/>
    <mergeCell ref="D85:D87"/>
    <mergeCell ref="D88:D90"/>
    <mergeCell ref="D91:D93"/>
    <mergeCell ref="D97:D99"/>
    <mergeCell ref="D118:D120"/>
    <mergeCell ref="D94:D96"/>
    <mergeCell ref="D112:D114"/>
    <mergeCell ref="D106:D108"/>
    <mergeCell ref="D100:D102"/>
    <mergeCell ref="D103:D105"/>
    <mergeCell ref="B11:C12"/>
    <mergeCell ref="D11:D12"/>
    <mergeCell ref="C60:D60"/>
    <mergeCell ref="C61:D61"/>
    <mergeCell ref="C62:D62"/>
    <mergeCell ref="B57:B59"/>
    <mergeCell ref="C53:D53"/>
    <mergeCell ref="C57:C59"/>
    <mergeCell ref="B54:B56"/>
    <mergeCell ref="C46:C48"/>
    <mergeCell ref="B40:B42"/>
    <mergeCell ref="C40:C42"/>
    <mergeCell ref="B43:B45"/>
    <mergeCell ref="B46:B48"/>
    <mergeCell ref="C13:C15"/>
    <mergeCell ref="B22:B24"/>
  </mergeCells>
  <phoneticPr fontId="0" type="noConversion"/>
  <printOptions horizontalCentered="1"/>
  <pageMargins left="0.25" right="0.25" top="0.25" bottom="0.25" header="0.5" footer="0.5"/>
  <pageSetup scale="54"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B1:Y48"/>
  <sheetViews>
    <sheetView showGridLines="0" zoomScaleNormal="100" workbookViewId="0">
      <selection activeCell="B18" sqref="B1:B1048576"/>
    </sheetView>
  </sheetViews>
  <sheetFormatPr defaultColWidth="8.85546875" defaultRowHeight="12.75"/>
  <cols>
    <col min="1" max="1" width="1.85546875" customWidth="1"/>
    <col min="2" max="2" width="12.7109375" customWidth="1"/>
    <col min="3" max="3" width="59.28515625" customWidth="1"/>
    <col min="4" max="4" width="8.85546875" customWidth="1"/>
    <col min="5" max="5" width="7.85546875" customWidth="1"/>
    <col min="6" max="13" width="5.140625" customWidth="1"/>
    <col min="14" max="14" width="4.140625" customWidth="1"/>
    <col min="15" max="15" width="17.42578125" style="115" hidden="1" customWidth="1"/>
    <col min="16" max="22" width="13.5703125" style="115" hidden="1" customWidth="1"/>
    <col min="23" max="23" width="11.140625" style="115" hidden="1" customWidth="1"/>
    <col min="24" max="29" width="7.7109375" customWidth="1"/>
    <col min="30" max="30" width="6.28515625" customWidth="1"/>
    <col min="31" max="32" width="4.5703125" customWidth="1"/>
    <col min="33" max="61" width="4" customWidth="1"/>
  </cols>
  <sheetData>
    <row r="1" spans="2:25" ht="18.75" customHeight="1">
      <c r="B1" s="22"/>
      <c r="O1" s="199">
        <v>3</v>
      </c>
      <c r="P1" s="194">
        <v>4</v>
      </c>
      <c r="Q1" s="202" t="s">
        <v>175</v>
      </c>
      <c r="R1" s="359">
        <v>1</v>
      </c>
      <c r="S1" s="255">
        <f>U1</f>
        <v>1</v>
      </c>
      <c r="T1" s="357" t="s">
        <v>307</v>
      </c>
      <c r="U1" s="353">
        <v>1</v>
      </c>
      <c r="V1" s="362">
        <v>1</v>
      </c>
      <c r="W1" s="353">
        <f>V1</f>
        <v>1</v>
      </c>
      <c r="X1" s="3"/>
      <c r="Y1" s="3"/>
    </row>
    <row r="2" spans="2:25" ht="28.5" customHeight="1">
      <c r="O2" s="211" t="s">
        <v>37</v>
      </c>
      <c r="P2" s="195" t="s">
        <v>38</v>
      </c>
      <c r="Q2" s="203" t="s">
        <v>284</v>
      </c>
      <c r="R2" s="211" t="s">
        <v>284</v>
      </c>
      <c r="S2" s="190" t="s">
        <v>285</v>
      </c>
      <c r="T2" s="354" t="s">
        <v>78</v>
      </c>
      <c r="U2" s="354" t="s">
        <v>415</v>
      </c>
      <c r="V2" s="363" t="s">
        <v>413</v>
      </c>
      <c r="W2" s="354" t="s">
        <v>413</v>
      </c>
      <c r="X2" s="3"/>
      <c r="Y2" s="3"/>
    </row>
    <row r="3" spans="2:25">
      <c r="O3" s="346" t="s">
        <v>155</v>
      </c>
      <c r="P3" s="349" t="str">
        <f>'DDR4 Spec'!E6</f>
        <v>-107E</v>
      </c>
      <c r="Q3" s="203" t="s">
        <v>270</v>
      </c>
      <c r="R3" s="360">
        <v>1</v>
      </c>
      <c r="S3" s="191">
        <v>1</v>
      </c>
      <c r="T3" s="354" t="s">
        <v>80</v>
      </c>
      <c r="U3" s="355">
        <v>4</v>
      </c>
      <c r="V3" s="363">
        <v>1</v>
      </c>
      <c r="W3" s="355" t="s">
        <v>324</v>
      </c>
      <c r="X3" s="3"/>
      <c r="Y3" s="3"/>
    </row>
    <row r="4" spans="2:25">
      <c r="O4" s="347" t="s">
        <v>213</v>
      </c>
      <c r="P4" s="197" t="str">
        <f>'DDR4 Spec'!F6</f>
        <v>-093</v>
      </c>
      <c r="Q4" s="203" t="s">
        <v>271</v>
      </c>
      <c r="R4" s="360">
        <v>2</v>
      </c>
      <c r="S4" s="191">
        <v>1</v>
      </c>
      <c r="T4" s="354" t="s">
        <v>81</v>
      </c>
      <c r="U4" s="355">
        <v>8</v>
      </c>
      <c r="V4" s="364">
        <v>2</v>
      </c>
      <c r="W4" s="356" t="s">
        <v>417</v>
      </c>
      <c r="X4" s="3"/>
      <c r="Y4" s="3"/>
    </row>
    <row r="5" spans="2:25" ht="23.25">
      <c r="B5" s="472" t="s">
        <v>237</v>
      </c>
      <c r="C5" s="473"/>
      <c r="D5" s="473"/>
      <c r="E5" s="473"/>
      <c r="O5" s="348" t="s">
        <v>214</v>
      </c>
      <c r="P5" s="197" t="str">
        <f>'DDR4 Spec'!G6</f>
        <v>-093E</v>
      </c>
      <c r="Q5" s="204"/>
      <c r="R5" s="361"/>
      <c r="S5" s="193">
        <v>2</v>
      </c>
      <c r="T5" s="358" t="s">
        <v>79</v>
      </c>
      <c r="U5" s="356">
        <v>16</v>
      </c>
      <c r="V5" s="192"/>
      <c r="W5" s="192"/>
      <c r="X5" s="3"/>
      <c r="Y5" s="3"/>
    </row>
    <row r="6" spans="2:25" ht="23.25" customHeight="1" thickBot="1">
      <c r="B6" s="16"/>
      <c r="C6" s="16"/>
      <c r="D6" s="16"/>
      <c r="E6" s="16"/>
      <c r="P6" s="196" t="str">
        <f>'DDR4 Spec'!H6</f>
        <v>-083</v>
      </c>
    </row>
    <row r="7" spans="2:25" ht="18.75" customHeight="1" thickBot="1">
      <c r="B7" s="16"/>
      <c r="C7" s="71" t="s">
        <v>458</v>
      </c>
      <c r="D7" s="29" t="str">
        <f>INDEX(O3:O5,O1)</f>
        <v>16Gb</v>
      </c>
      <c r="E7" s="5"/>
      <c r="P7" s="196" t="str">
        <f>'DDR4 Spec'!I6</f>
        <v>-083E</v>
      </c>
    </row>
    <row r="8" spans="2:25" ht="18.75" customHeight="1">
      <c r="B8" s="350" t="s">
        <v>306</v>
      </c>
      <c r="C8" s="72" t="s">
        <v>226</v>
      </c>
      <c r="D8" s="25">
        <f>INDEX(U3:U5,U1)</f>
        <v>4</v>
      </c>
      <c r="E8" s="6"/>
      <c r="P8" s="197" t="str">
        <f>'DDR4 Spec'!J6</f>
        <v>-075</v>
      </c>
    </row>
    <row r="9" spans="2:25" ht="18.75" customHeight="1" thickBot="1">
      <c r="B9" s="351">
        <v>2400</v>
      </c>
      <c r="C9" s="72" t="s">
        <v>38</v>
      </c>
      <c r="D9" s="28" t="str">
        <f>INDEX(P3:P12,P1)</f>
        <v>-083</v>
      </c>
      <c r="E9" s="6"/>
      <c r="P9" s="197" t="str">
        <f>'DDR4 Spec'!K6</f>
        <v>-075E</v>
      </c>
    </row>
    <row r="10" spans="2:25" ht="18.75" customHeight="1">
      <c r="B10" s="16"/>
      <c r="C10" s="343" t="s">
        <v>272</v>
      </c>
      <c r="D10" s="344">
        <v>2</v>
      </c>
      <c r="E10" s="345"/>
      <c r="P10" s="197" t="str">
        <f>'DDR4 Spec'!L6</f>
        <v>-068</v>
      </c>
    </row>
    <row r="11" spans="2:25" ht="18.75" customHeight="1" thickBot="1">
      <c r="B11" s="16"/>
      <c r="C11" s="253" t="s">
        <v>416</v>
      </c>
      <c r="D11" s="135">
        <f>INDEX(V3:V5,V1)</f>
        <v>1</v>
      </c>
      <c r="E11" s="352"/>
      <c r="P11" s="197" t="str">
        <f>'DDR4 Spec'!M6</f>
        <v>-068E</v>
      </c>
    </row>
    <row r="12" spans="2:25">
      <c r="B12" s="16"/>
      <c r="P12" s="198" t="str">
        <f>'DDR4 Spec'!N6</f>
        <v>-062E</v>
      </c>
    </row>
    <row r="13" spans="2:25" ht="13.5" thickBot="1">
      <c r="B13" s="16"/>
      <c r="C13" s="16"/>
      <c r="D13" s="17"/>
      <c r="E13" s="16"/>
      <c r="P13" s="117" t="s">
        <v>175</v>
      </c>
    </row>
    <row r="14" spans="2:25" ht="15.95" customHeight="1">
      <c r="B14" s="73" t="s">
        <v>41</v>
      </c>
      <c r="C14" s="74" t="s">
        <v>42</v>
      </c>
      <c r="D14" s="75" t="s">
        <v>39</v>
      </c>
      <c r="E14" s="76" t="s">
        <v>40</v>
      </c>
      <c r="P14" s="117" t="s">
        <v>175</v>
      </c>
    </row>
    <row r="15" spans="2:25" ht="14.25">
      <c r="B15" s="49"/>
      <c r="C15" s="50" t="s">
        <v>166</v>
      </c>
      <c r="D15" s="77">
        <v>1.1000000000000001</v>
      </c>
      <c r="E15" s="83" t="s">
        <v>10</v>
      </c>
      <c r="F15" s="1"/>
      <c r="G15" s="1"/>
      <c r="H15" s="1"/>
      <c r="I15" s="1"/>
      <c r="J15" s="1"/>
      <c r="K15" s="1"/>
      <c r="L15" s="1"/>
      <c r="M15" s="1"/>
      <c r="N15" s="1"/>
      <c r="O15" s="116"/>
    </row>
    <row r="16" spans="2:25" ht="14.25">
      <c r="B16" s="49"/>
      <c r="C16" s="50" t="s">
        <v>167</v>
      </c>
      <c r="D16" s="77">
        <v>1.1000000000000001</v>
      </c>
      <c r="E16" s="83" t="s">
        <v>10</v>
      </c>
      <c r="F16" s="1"/>
      <c r="G16" s="1"/>
      <c r="H16" s="1"/>
      <c r="I16" s="1"/>
      <c r="J16" s="1"/>
      <c r="K16" s="1"/>
      <c r="L16" s="1"/>
      <c r="M16" s="1"/>
      <c r="N16" s="1"/>
      <c r="O16" s="116"/>
    </row>
    <row r="17" spans="2:19" ht="14.25">
      <c r="B17" s="49"/>
      <c r="C17" s="50" t="s">
        <v>242</v>
      </c>
      <c r="D17" s="77">
        <v>1.8</v>
      </c>
      <c r="E17" s="83" t="s">
        <v>10</v>
      </c>
      <c r="F17" s="1"/>
      <c r="G17" s="1"/>
      <c r="H17" s="1"/>
      <c r="I17" s="1"/>
      <c r="J17" s="1"/>
      <c r="K17" s="1"/>
      <c r="L17" s="1"/>
      <c r="M17" s="1"/>
      <c r="N17" s="1"/>
      <c r="O17" s="116"/>
    </row>
    <row r="18" spans="2:19" ht="14.25">
      <c r="B18" s="49"/>
      <c r="C18" s="50" t="s">
        <v>241</v>
      </c>
      <c r="D18" s="77">
        <v>1.8</v>
      </c>
      <c r="E18" s="83" t="s">
        <v>10</v>
      </c>
      <c r="F18" s="1"/>
      <c r="G18" s="1"/>
      <c r="H18" s="1"/>
      <c r="I18" s="1"/>
      <c r="J18" s="1"/>
      <c r="K18" s="1"/>
      <c r="L18" s="1"/>
      <c r="M18" s="1"/>
      <c r="N18" s="1"/>
      <c r="O18" s="116"/>
    </row>
    <row r="19" spans="2:19" ht="14.25">
      <c r="B19" s="49"/>
      <c r="C19" s="50"/>
      <c r="D19" s="77"/>
      <c r="E19" s="83"/>
      <c r="F19" s="1"/>
      <c r="G19" s="1"/>
      <c r="H19" s="1"/>
      <c r="I19" s="1"/>
      <c r="J19" s="1"/>
      <c r="K19" s="1"/>
      <c r="L19" s="1"/>
      <c r="M19" s="1"/>
      <c r="N19" s="1"/>
    </row>
    <row r="20" spans="2:19" ht="14.25">
      <c r="B20" s="49"/>
      <c r="C20" s="50" t="s">
        <v>125</v>
      </c>
      <c r="D20" s="78">
        <f>2*INDEX(S3:S5,S1)</f>
        <v>2</v>
      </c>
      <c r="E20" s="83"/>
      <c r="F20" s="1"/>
      <c r="G20" s="1"/>
      <c r="H20" s="1"/>
      <c r="I20" s="1"/>
      <c r="J20" s="1"/>
      <c r="K20" s="1"/>
      <c r="L20" s="1"/>
      <c r="M20" s="1"/>
      <c r="N20" s="1"/>
      <c r="O20" s="116"/>
    </row>
    <row r="21" spans="2:19" ht="14.25">
      <c r="B21" s="49"/>
      <c r="C21" s="50" t="s">
        <v>126</v>
      </c>
      <c r="D21" s="78">
        <v>1</v>
      </c>
      <c r="E21" s="83"/>
      <c r="F21" s="1"/>
      <c r="G21" s="1"/>
      <c r="H21" s="1"/>
      <c r="I21" s="1"/>
      <c r="J21" s="1"/>
      <c r="K21" s="1"/>
      <c r="L21" s="1"/>
      <c r="M21" s="1"/>
      <c r="N21" s="1"/>
      <c r="O21" s="116"/>
      <c r="S21" s="117" t="s">
        <v>175</v>
      </c>
    </row>
    <row r="22" spans="2:19" ht="14.25">
      <c r="B22" s="49"/>
      <c r="C22" s="50"/>
      <c r="D22" s="77"/>
      <c r="E22" s="83"/>
      <c r="F22" s="1"/>
      <c r="G22" s="1"/>
      <c r="H22" s="1"/>
      <c r="I22" s="1"/>
      <c r="J22" s="1"/>
      <c r="K22" s="1"/>
      <c r="L22" s="1"/>
      <c r="M22" s="1"/>
      <c r="N22" s="1"/>
      <c r="O22" s="116"/>
    </row>
    <row r="23" spans="2:19" ht="14.25">
      <c r="B23" s="49" t="s">
        <v>157</v>
      </c>
      <c r="C23" s="50" t="s">
        <v>259</v>
      </c>
      <c r="D23" s="77">
        <f>'[1]DDR4 Spec'!D108</f>
        <v>103</v>
      </c>
      <c r="E23" s="83" t="s">
        <v>11</v>
      </c>
    </row>
    <row r="24" spans="2:19" ht="14.25">
      <c r="B24" s="49" t="s">
        <v>220</v>
      </c>
      <c r="C24" s="50" t="s">
        <v>260</v>
      </c>
      <c r="D24" s="77">
        <f>'[1]DDR4 Spec'!D109</f>
        <v>8</v>
      </c>
      <c r="E24" s="83" t="s">
        <v>11</v>
      </c>
    </row>
    <row r="25" spans="2:19" ht="14.25">
      <c r="B25" s="49" t="s">
        <v>168</v>
      </c>
      <c r="C25" s="50" t="s">
        <v>116</v>
      </c>
      <c r="D25" s="77">
        <f>'[1]DDR4 Spec'!D110</f>
        <v>88</v>
      </c>
      <c r="E25" s="83" t="s">
        <v>11</v>
      </c>
    </row>
    <row r="26" spans="2:19" ht="14.25">
      <c r="B26" s="49" t="s">
        <v>158</v>
      </c>
      <c r="C26" s="50" t="s">
        <v>117</v>
      </c>
      <c r="D26" s="77">
        <f>'[1]DDR4 Spec'!D111</f>
        <v>92</v>
      </c>
      <c r="E26" s="83" t="s">
        <v>11</v>
      </c>
    </row>
    <row r="27" spans="2:19" ht="14.25">
      <c r="B27" s="49" t="s">
        <v>159</v>
      </c>
      <c r="C27" s="50" t="s">
        <v>118</v>
      </c>
      <c r="D27" s="77">
        <f>'[1]DDR4 Spec'!D113</f>
        <v>140</v>
      </c>
      <c r="E27" s="83" t="s">
        <v>11</v>
      </c>
      <c r="F27" s="16"/>
      <c r="G27" s="16"/>
      <c r="H27" s="16"/>
      <c r="I27" s="16"/>
      <c r="J27" s="16"/>
      <c r="K27" s="16"/>
      <c r="L27" s="16"/>
      <c r="M27" s="16"/>
      <c r="N27" s="16"/>
    </row>
    <row r="28" spans="2:19" ht="14.25">
      <c r="B28" s="49" t="s">
        <v>160</v>
      </c>
      <c r="C28" s="50" t="s">
        <v>119</v>
      </c>
      <c r="D28" s="77">
        <f>'[1]DDR4 Spec'!D114</f>
        <v>142</v>
      </c>
      <c r="E28" s="83" t="s">
        <v>11</v>
      </c>
    </row>
    <row r="29" spans="2:19" ht="14.25">
      <c r="B29" s="49" t="s">
        <v>390</v>
      </c>
      <c r="C29" s="186" t="s">
        <v>392</v>
      </c>
      <c r="D29" s="332">
        <f>(D28-D26)/IF(D8=16,8,16)+D26</f>
        <v>95.125</v>
      </c>
      <c r="E29" s="83" t="s">
        <v>11</v>
      </c>
    </row>
    <row r="30" spans="2:19" ht="14.25">
      <c r="B30" s="49" t="s">
        <v>360</v>
      </c>
      <c r="C30" s="50" t="s">
        <v>269</v>
      </c>
      <c r="D30" s="332">
        <v>7</v>
      </c>
      <c r="E30" s="83" t="s">
        <v>11</v>
      </c>
    </row>
    <row r="31" spans="2:19" ht="14.25">
      <c r="B31" s="49" t="s">
        <v>161</v>
      </c>
      <c r="C31" s="50" t="s">
        <v>120</v>
      </c>
      <c r="D31" s="332">
        <v>318</v>
      </c>
      <c r="E31" s="83" t="s">
        <v>11</v>
      </c>
    </row>
    <row r="32" spans="2:19" ht="14.25">
      <c r="B32" s="49" t="s">
        <v>333</v>
      </c>
      <c r="C32" s="50" t="s">
        <v>337</v>
      </c>
      <c r="D32" s="332">
        <v>9</v>
      </c>
      <c r="E32" s="83" t="s">
        <v>11</v>
      </c>
    </row>
    <row r="33" spans="2:16" ht="14.25">
      <c r="B33" s="49" t="s">
        <v>162</v>
      </c>
      <c r="C33" s="50" t="s">
        <v>121</v>
      </c>
      <c r="D33" s="332">
        <v>345</v>
      </c>
      <c r="E33" s="83" t="s">
        <v>11</v>
      </c>
    </row>
    <row r="34" spans="2:16" ht="14.25">
      <c r="B34" s="49" t="s">
        <v>334</v>
      </c>
      <c r="C34" s="50" t="s">
        <v>338</v>
      </c>
      <c r="D34" s="332">
        <v>36</v>
      </c>
      <c r="E34" s="83" t="s">
        <v>11</v>
      </c>
    </row>
    <row r="35" spans="2:16" ht="14.25">
      <c r="B35" s="49" t="s">
        <v>346</v>
      </c>
      <c r="C35" s="50" t="s">
        <v>401</v>
      </c>
      <c r="D35" s="332">
        <v>200</v>
      </c>
      <c r="E35" s="83" t="s">
        <v>11</v>
      </c>
    </row>
    <row r="36" spans="2:16" ht="14.25">
      <c r="B36" s="49" t="s">
        <v>347</v>
      </c>
      <c r="C36" s="50" t="s">
        <v>402</v>
      </c>
      <c r="D36" s="332">
        <v>10</v>
      </c>
      <c r="E36" s="83" t="s">
        <v>11</v>
      </c>
    </row>
    <row r="37" spans="2:16" ht="14.25">
      <c r="B37" s="49" t="s">
        <v>310</v>
      </c>
      <c r="C37" s="50" t="s">
        <v>400</v>
      </c>
      <c r="D37" s="288">
        <v>277</v>
      </c>
      <c r="E37" s="83" t="s">
        <v>11</v>
      </c>
    </row>
    <row r="38" spans="2:16" ht="14.25">
      <c r="B38" s="49" t="s">
        <v>348</v>
      </c>
      <c r="C38" s="50" t="s">
        <v>403</v>
      </c>
      <c r="D38" s="288">
        <v>28</v>
      </c>
      <c r="E38" s="83" t="s">
        <v>11</v>
      </c>
    </row>
    <row r="39" spans="2:16" ht="14.25">
      <c r="B39" s="49"/>
      <c r="C39" s="50"/>
      <c r="D39" s="78"/>
      <c r="E39" s="83"/>
    </row>
    <row r="40" spans="2:16" ht="16.5">
      <c r="B40" s="49" t="s">
        <v>229</v>
      </c>
      <c r="C40" s="70" t="s">
        <v>143</v>
      </c>
      <c r="D40" s="201">
        <f>'DDR4 Spec'!D152</f>
        <v>0.41566666666666668</v>
      </c>
      <c r="E40" s="83" t="s">
        <v>27</v>
      </c>
    </row>
    <row r="41" spans="2:16" ht="16.5">
      <c r="B41" s="79" t="s">
        <v>235</v>
      </c>
      <c r="C41" s="50" t="s">
        <v>233</v>
      </c>
      <c r="D41" s="77">
        <f>'DDR4 Spec'!D153</f>
        <v>3.3333333333333335</v>
      </c>
      <c r="E41" s="83" t="s">
        <v>27</v>
      </c>
    </row>
    <row r="42" spans="2:16" ht="16.5">
      <c r="B42" s="79" t="s">
        <v>224</v>
      </c>
      <c r="C42" s="50" t="s">
        <v>234</v>
      </c>
      <c r="D42" s="77">
        <f>'DDR4 Spec'!D154</f>
        <v>3.3333333333333335</v>
      </c>
      <c r="E42" s="83" t="s">
        <v>27</v>
      </c>
      <c r="P42" s="308" t="s">
        <v>175</v>
      </c>
    </row>
    <row r="43" spans="2:16" ht="16.5">
      <c r="B43" s="79" t="s">
        <v>144</v>
      </c>
      <c r="C43" s="50" t="s">
        <v>404</v>
      </c>
      <c r="D43" s="77">
        <f>'DDR4 Spec'!D155</f>
        <v>38.24</v>
      </c>
      <c r="E43" s="83" t="s">
        <v>27</v>
      </c>
    </row>
    <row r="44" spans="2:16" ht="16.5">
      <c r="B44" s="79" t="s">
        <v>145</v>
      </c>
      <c r="C44" s="70" t="s">
        <v>170</v>
      </c>
      <c r="D44" s="77">
        <f>'DDR4 Spec'!D156</f>
        <v>21.61</v>
      </c>
      <c r="E44" s="83" t="s">
        <v>27</v>
      </c>
    </row>
    <row r="45" spans="2:16" ht="16.5">
      <c r="B45" s="79" t="s">
        <v>147</v>
      </c>
      <c r="C45" s="50" t="s">
        <v>405</v>
      </c>
      <c r="D45" s="77">
        <f>'DDR4 Spec'!D157</f>
        <v>170.42</v>
      </c>
      <c r="E45" s="83" t="s">
        <v>27</v>
      </c>
    </row>
    <row r="46" spans="2:16" ht="16.5">
      <c r="B46" s="79" t="s">
        <v>148</v>
      </c>
      <c r="C46" s="50" t="s">
        <v>74</v>
      </c>
      <c r="D46" s="77">
        <f>'DDR4 Spec'!D158</f>
        <v>12.47</v>
      </c>
      <c r="E46" s="83" t="s">
        <v>154</v>
      </c>
    </row>
    <row r="47" spans="2:16" ht="16.5">
      <c r="B47" s="79" t="s">
        <v>163</v>
      </c>
      <c r="C47" s="50" t="s">
        <v>150</v>
      </c>
      <c r="D47" s="201">
        <f>'DDR4 Spec'!D159</f>
        <v>0.41566666666666668</v>
      </c>
      <c r="E47" s="83" t="s">
        <v>27</v>
      </c>
    </row>
    <row r="48" spans="2:16" ht="17.25" thickBot="1">
      <c r="B48" s="80" t="s">
        <v>169</v>
      </c>
      <c r="C48" s="81" t="s">
        <v>152</v>
      </c>
      <c r="D48" s="82">
        <f>'DDR4 Spec'!D160</f>
        <v>1.9</v>
      </c>
      <c r="E48" s="84" t="s">
        <v>27</v>
      </c>
    </row>
  </sheetData>
  <sheetProtection selectLockedCells="1" selectUnlockedCells="1"/>
  <protectedRanges>
    <protectedRange sqref="D15:D22 D29:D48" name="Range1"/>
    <protectedRange sqref="D23:D28" name="Range1_1"/>
  </protectedRanges>
  <mergeCells count="1">
    <mergeCell ref="B5:E5"/>
  </mergeCells>
  <phoneticPr fontId="0" type="noConversion"/>
  <printOptions horizontalCentered="1"/>
  <pageMargins left="0.25" right="0.25" top="0.25" bottom="0.25" header="0.5" footer="0.5"/>
  <pageSetup scale="5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2" r:id="rId4" name="Drop Down 6">
              <controlPr defaultSize="0" autoFill="0" autoLine="0" autoPict="0">
                <anchor moveWithCells="1">
                  <from>
                    <xdr:col>2</xdr:col>
                    <xdr:colOff>3943350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4993" r:id="rId5" name="Drop Down 897">
              <controlPr defaultSize="0" autoFill="0" autoLine="0" autoPict="0">
                <anchor moveWithCells="1">
                  <from>
                    <xdr:col>2</xdr:col>
                    <xdr:colOff>3943350</xdr:colOff>
                    <xdr:row>7</xdr:row>
                    <xdr:rowOff>0</xdr:rowOff>
                  </from>
                  <to>
                    <xdr:col>5</xdr:col>
                    <xdr:colOff>0</xdr:colOff>
                    <xdr:row>8</xdr:row>
                    <xdr:rowOff>0</xdr:rowOff>
                  </to>
                </anchor>
              </controlPr>
            </control>
          </mc:Choice>
        </mc:AlternateContent>
        <mc:AlternateContent xmlns:mc="http://schemas.openxmlformats.org/markup-compatibility/2006">
          <mc:Choice Requires="x14">
            <control shapeId="4994" r:id="rId6" name="Drop Down 898">
              <controlPr defaultSize="0" autoFill="0" autoLine="0" autoPict="0">
                <anchor moveWithCells="1">
                  <from>
                    <xdr:col>2</xdr:col>
                    <xdr:colOff>3943350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4996" r:id="rId7" name="Drop Down 900">
              <controlPr defaultSize="0" autoFill="0" autoLine="0" autoPict="0">
                <anchor moveWithCells="1">
                  <from>
                    <xdr:col>2</xdr:col>
                    <xdr:colOff>3943350</xdr:colOff>
                    <xdr:row>9</xdr:row>
                    <xdr:rowOff>0</xdr:rowOff>
                  </from>
                  <to>
                    <xdr:col>5</xdr:col>
                    <xdr:colOff>0</xdr:colOff>
                    <xdr:row>9</xdr:row>
                    <xdr:rowOff>228600</xdr:rowOff>
                  </to>
                </anchor>
              </controlPr>
            </control>
          </mc:Choice>
        </mc:AlternateContent>
        <mc:AlternateContent xmlns:mc="http://schemas.openxmlformats.org/markup-compatibility/2006">
          <mc:Choice Requires="x14">
            <control shapeId="4997" r:id="rId8" name="Drop Down 901">
              <controlPr defaultSize="0" autoFill="0" autoLine="0" autoPict="0">
                <anchor moveWithCells="1">
                  <from>
                    <xdr:col>2</xdr:col>
                    <xdr:colOff>3943350</xdr:colOff>
                    <xdr:row>10</xdr:row>
                    <xdr:rowOff>0</xdr:rowOff>
                  </from>
                  <to>
                    <xdr:col>5</xdr:col>
                    <xdr:colOff>0</xdr:colOff>
                    <xdr:row>10</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47E3F-47CB-4F0B-A30A-234AFCF362B6}">
  <dimension ref="A1:E41"/>
  <sheetViews>
    <sheetView tabSelected="1" workbookViewId="0"/>
  </sheetViews>
  <sheetFormatPr defaultRowHeight="12.75"/>
  <cols>
    <col min="1" max="1" width="9.140625" style="32"/>
    <col min="2" max="2" width="21.5703125" style="32" customWidth="1"/>
    <col min="3" max="4" width="9.140625" style="32"/>
    <col min="5" max="5" width="19.85546875" style="32" customWidth="1"/>
  </cols>
  <sheetData>
    <row r="1" spans="1:5">
      <c r="A1" s="32" t="s">
        <v>472</v>
      </c>
      <c r="B1" s="32" t="s">
        <v>473</v>
      </c>
      <c r="C1" s="32" t="s">
        <v>474</v>
      </c>
      <c r="D1" s="32" t="s">
        <v>475</v>
      </c>
      <c r="E1" s="250" t="s">
        <v>480</v>
      </c>
    </row>
    <row r="2" spans="1:5">
      <c r="A2" s="32">
        <v>602</v>
      </c>
      <c r="B2" s="32" t="s">
        <v>476</v>
      </c>
      <c r="C2" s="32">
        <v>0.66787231899999999</v>
      </c>
      <c r="D2" s="32">
        <v>2.213965E-3</v>
      </c>
      <c r="E2" s="32">
        <v>0.81095892199999997</v>
      </c>
    </row>
    <row r="3" spans="1:5">
      <c r="A3" s="32">
        <v>602</v>
      </c>
      <c r="B3" s="32" t="s">
        <v>477</v>
      </c>
      <c r="C3" s="32">
        <v>0.73477931900000004</v>
      </c>
      <c r="D3" s="32">
        <v>2.435759E-3</v>
      </c>
      <c r="E3" s="32">
        <v>0.81253802799999997</v>
      </c>
    </row>
    <row r="4" spans="1:5">
      <c r="A4" s="32">
        <v>602</v>
      </c>
      <c r="B4" s="32" t="s">
        <v>478</v>
      </c>
      <c r="C4" s="32">
        <v>0.81385926099999994</v>
      </c>
      <c r="D4" s="32">
        <v>2.697905E-3</v>
      </c>
      <c r="E4" s="32">
        <v>0.81674277799999995</v>
      </c>
    </row>
    <row r="5" spans="1:5">
      <c r="A5" s="32">
        <v>602</v>
      </c>
      <c r="B5" s="32" t="s">
        <v>479</v>
      </c>
      <c r="C5" s="32">
        <v>0.91211427499999997</v>
      </c>
      <c r="D5" s="32">
        <v>3.0236159999999998E-3</v>
      </c>
      <c r="E5" s="32">
        <v>0.82496195999999999</v>
      </c>
    </row>
    <row r="6" spans="1:5">
      <c r="A6" s="32">
        <v>620</v>
      </c>
      <c r="B6" s="32" t="s">
        <v>476</v>
      </c>
      <c r="C6" s="32">
        <v>0.35157103899999997</v>
      </c>
      <c r="D6" s="32">
        <v>0.13740936000000001</v>
      </c>
      <c r="E6" s="32">
        <v>0.26034688900000003</v>
      </c>
    </row>
    <row r="7" spans="1:5">
      <c r="A7" s="32">
        <v>620</v>
      </c>
      <c r="B7" s="32" t="s">
        <v>477</v>
      </c>
      <c r="C7" s="32">
        <v>0.37490840600000003</v>
      </c>
      <c r="D7" s="32">
        <v>0.146530625</v>
      </c>
      <c r="E7" s="32">
        <v>0.26196145999999998</v>
      </c>
    </row>
    <row r="8" spans="1:5">
      <c r="A8" s="32">
        <v>620</v>
      </c>
      <c r="B8" s="32" t="s">
        <v>478</v>
      </c>
      <c r="C8" s="32">
        <v>0.39498229499999998</v>
      </c>
      <c r="D8" s="32">
        <v>0.15437638000000001</v>
      </c>
      <c r="E8" s="32">
        <v>0.26480478000000002</v>
      </c>
    </row>
    <row r="9" spans="1:5">
      <c r="A9" s="32">
        <v>620</v>
      </c>
      <c r="B9" s="32" t="s">
        <v>479</v>
      </c>
      <c r="C9" s="32">
        <v>0.41881074099999999</v>
      </c>
      <c r="D9" s="32">
        <v>0.16368958</v>
      </c>
      <c r="E9" s="32">
        <v>0.267861664</v>
      </c>
    </row>
    <row r="10" spans="1:5">
      <c r="A10" s="32">
        <v>607</v>
      </c>
      <c r="B10" s="32" t="s">
        <v>476</v>
      </c>
      <c r="C10" s="32">
        <v>0.481529502</v>
      </c>
      <c r="D10" s="32">
        <v>1.9339035000000001E-2</v>
      </c>
      <c r="E10" s="32">
        <v>0.90082901699999995</v>
      </c>
    </row>
    <row r="11" spans="1:5">
      <c r="A11" s="32">
        <v>607</v>
      </c>
      <c r="B11" s="32" t="s">
        <v>477</v>
      </c>
      <c r="C11" s="32">
        <v>0.51937017900000004</v>
      </c>
      <c r="D11" s="32">
        <v>2.085878E-2</v>
      </c>
      <c r="E11" s="32">
        <v>0.91362696899999996</v>
      </c>
    </row>
    <row r="12" spans="1:5">
      <c r="A12" s="32">
        <v>607</v>
      </c>
      <c r="B12" s="32" t="s">
        <v>478</v>
      </c>
      <c r="C12" s="32">
        <v>0.55815026899999998</v>
      </c>
      <c r="D12" s="32">
        <v>2.2416254E-2</v>
      </c>
      <c r="E12" s="32">
        <v>0.92432641999999998</v>
      </c>
    </row>
    <row r="13" spans="1:5">
      <c r="A13" s="32">
        <v>607</v>
      </c>
      <c r="B13" s="32" t="s">
        <v>479</v>
      </c>
      <c r="C13" s="32">
        <v>0.60596418900000004</v>
      </c>
      <c r="D13" s="32">
        <v>2.4336541999999999E-2</v>
      </c>
      <c r="E13" s="32">
        <v>0.93733161700000001</v>
      </c>
    </row>
    <row r="14" spans="1:5">
      <c r="A14" s="32">
        <v>623</v>
      </c>
      <c r="B14" s="32" t="s">
        <v>476</v>
      </c>
      <c r="C14" s="32">
        <v>0.67549878799999996</v>
      </c>
      <c r="D14" s="32">
        <v>1.590483E-3</v>
      </c>
      <c r="E14" s="32">
        <v>0.69442057599999996</v>
      </c>
    </row>
    <row r="15" spans="1:5">
      <c r="A15" s="32">
        <v>623</v>
      </c>
      <c r="B15" s="32" t="s">
        <v>477</v>
      </c>
      <c r="C15" s="32">
        <v>0.74352391299999998</v>
      </c>
      <c r="D15" s="32">
        <v>1.7506500000000001E-3</v>
      </c>
      <c r="E15" s="32">
        <v>0.71072959899999999</v>
      </c>
    </row>
    <row r="16" spans="1:5">
      <c r="A16" s="32">
        <v>623</v>
      </c>
      <c r="B16" s="32" t="s">
        <v>478</v>
      </c>
      <c r="C16" s="32">
        <v>0.82624844500000005</v>
      </c>
      <c r="D16" s="32">
        <v>1.945427E-3</v>
      </c>
      <c r="E16" s="32">
        <v>0.71072959899999999</v>
      </c>
    </row>
    <row r="17" spans="1:5">
      <c r="A17" s="32">
        <v>623</v>
      </c>
      <c r="B17" s="32" t="s">
        <v>479</v>
      </c>
      <c r="C17" s="32">
        <v>0.92690282499999999</v>
      </c>
      <c r="D17" s="32">
        <v>2.1824209999999999E-3</v>
      </c>
      <c r="E17" s="32">
        <v>0.71128272999999997</v>
      </c>
    </row>
    <row r="18" spans="1:5">
      <c r="A18" s="32">
        <v>621</v>
      </c>
      <c r="B18" s="32" t="s">
        <v>476</v>
      </c>
      <c r="C18" s="32">
        <v>0.58846714200000005</v>
      </c>
      <c r="D18" s="32">
        <v>3.4263249000000003E-2</v>
      </c>
      <c r="E18" s="32">
        <v>0.91127270500000002</v>
      </c>
    </row>
    <row r="19" spans="1:5">
      <c r="A19" s="32">
        <v>621</v>
      </c>
      <c r="B19" s="32" t="s">
        <v>477</v>
      </c>
      <c r="C19" s="32">
        <v>0.64505271099999995</v>
      </c>
      <c r="D19" s="32">
        <v>3.7557920000000002E-2</v>
      </c>
      <c r="E19" s="32">
        <v>0.91910415899999998</v>
      </c>
    </row>
    <row r="20" spans="1:5">
      <c r="A20" s="32">
        <v>621</v>
      </c>
      <c r="B20" s="32" t="s">
        <v>478</v>
      </c>
      <c r="C20" s="32">
        <v>0.71118648799999995</v>
      </c>
      <c r="D20" s="32">
        <v>4.1408529999999999E-2</v>
      </c>
      <c r="E20" s="32">
        <v>0.92525452399999997</v>
      </c>
    </row>
    <row r="21" spans="1:5">
      <c r="A21" s="32">
        <v>621</v>
      </c>
      <c r="B21" s="32" t="s">
        <v>479</v>
      </c>
      <c r="C21" s="32">
        <v>0.79505356299999996</v>
      </c>
      <c r="D21" s="32">
        <v>4.6291655000000001E-2</v>
      </c>
      <c r="E21" s="32">
        <v>0.93323636099999996</v>
      </c>
    </row>
    <row r="22" spans="1:5">
      <c r="A22" s="32">
        <v>628</v>
      </c>
      <c r="B22" s="32" t="s">
        <v>476</v>
      </c>
      <c r="C22" s="32">
        <v>0.50407033899999998</v>
      </c>
      <c r="D22" s="32">
        <v>4.1049131000000003E-2</v>
      </c>
      <c r="E22" s="32">
        <v>0.78794360200000002</v>
      </c>
    </row>
    <row r="23" spans="1:5">
      <c r="A23" s="32">
        <v>628</v>
      </c>
      <c r="B23" s="32" t="s">
        <v>477</v>
      </c>
      <c r="C23" s="32">
        <v>0.54893272199999998</v>
      </c>
      <c r="D23" s="32">
        <v>4.4702513999999999E-2</v>
      </c>
      <c r="E23" s="32">
        <v>0.79536759899999998</v>
      </c>
    </row>
    <row r="24" spans="1:5">
      <c r="A24" s="32">
        <v>628</v>
      </c>
      <c r="B24" s="32" t="s">
        <v>478</v>
      </c>
      <c r="C24" s="32">
        <v>0.59812582999999997</v>
      </c>
      <c r="D24" s="32">
        <v>4.8708570999999999E-2</v>
      </c>
      <c r="E24" s="32">
        <v>0.80303072900000005</v>
      </c>
    </row>
    <row r="25" spans="1:5">
      <c r="A25" s="32">
        <v>628</v>
      </c>
      <c r="B25" s="32" t="s">
        <v>479</v>
      </c>
      <c r="C25" s="32">
        <v>0.66372039699999996</v>
      </c>
      <c r="D25" s="32">
        <v>5.4050286000000003E-2</v>
      </c>
      <c r="E25" s="32">
        <v>0.81220781799999997</v>
      </c>
    </row>
    <row r="26" spans="1:5">
      <c r="A26" s="32">
        <v>605</v>
      </c>
      <c r="B26" s="32" t="s">
        <v>476</v>
      </c>
      <c r="C26" s="32">
        <v>0.470655877</v>
      </c>
      <c r="D26" s="32">
        <v>1.5834180000000001E-3</v>
      </c>
      <c r="E26" s="32">
        <v>0.47146698799999998</v>
      </c>
    </row>
    <row r="27" spans="1:5">
      <c r="A27" s="32">
        <v>605</v>
      </c>
      <c r="B27" s="32" t="s">
        <v>477</v>
      </c>
      <c r="C27" s="32">
        <v>0.50990474299999999</v>
      </c>
      <c r="D27" s="32">
        <v>1.715463E-3</v>
      </c>
      <c r="E27" s="32">
        <v>0.47506719800000002</v>
      </c>
    </row>
    <row r="28" spans="1:5">
      <c r="A28" s="32">
        <v>605</v>
      </c>
      <c r="B28" s="32" t="s">
        <v>478</v>
      </c>
      <c r="C28" s="32">
        <v>0.54620577599999998</v>
      </c>
      <c r="D28" s="32">
        <v>1.8375889999999999E-3</v>
      </c>
      <c r="E28" s="32">
        <v>0.47819593500000002</v>
      </c>
    </row>
    <row r="29" spans="1:5">
      <c r="A29" s="32">
        <v>605</v>
      </c>
      <c r="B29" s="32" t="s">
        <v>479</v>
      </c>
      <c r="C29" s="32">
        <v>0.59047130800000003</v>
      </c>
      <c r="D29" s="32">
        <v>1.9865109999999998E-3</v>
      </c>
      <c r="E29" s="32">
        <v>0.48178017099999998</v>
      </c>
    </row>
    <row r="30" spans="1:5">
      <c r="A30" s="32">
        <v>603</v>
      </c>
      <c r="B30" s="32" t="s">
        <v>476</v>
      </c>
      <c r="C30" s="32">
        <v>0.35383582000000002</v>
      </c>
      <c r="D30" s="32">
        <v>1.1441000000000001E-3</v>
      </c>
      <c r="E30" s="32">
        <v>0.91687500499999997</v>
      </c>
    </row>
    <row r="31" spans="1:5">
      <c r="A31" s="32">
        <v>603</v>
      </c>
      <c r="B31" s="32" t="s">
        <v>477</v>
      </c>
      <c r="C31" s="32">
        <v>0.37581190399999997</v>
      </c>
      <c r="D31" s="32">
        <v>1.215158E-3</v>
      </c>
      <c r="E31" s="32">
        <v>0.916562498</v>
      </c>
    </row>
    <row r="32" spans="1:5">
      <c r="A32" s="32">
        <v>603</v>
      </c>
      <c r="B32" s="32" t="s">
        <v>478</v>
      </c>
      <c r="C32" s="32">
        <v>0.39444187400000003</v>
      </c>
      <c r="D32" s="32">
        <v>1.2753969999999999E-3</v>
      </c>
      <c r="E32" s="32">
        <v>0.91781252599999996</v>
      </c>
    </row>
    <row r="33" spans="1:5">
      <c r="A33" s="32">
        <v>603</v>
      </c>
      <c r="B33" s="32" t="s">
        <v>479</v>
      </c>
      <c r="C33" s="32">
        <v>0.41937561699999998</v>
      </c>
      <c r="D33" s="32">
        <v>1.3560180000000001E-3</v>
      </c>
      <c r="E33" s="32">
        <v>0.91687500499999997</v>
      </c>
    </row>
    <row r="34" spans="1:5">
      <c r="A34" s="32">
        <v>654</v>
      </c>
      <c r="B34" s="32" t="s">
        <v>476</v>
      </c>
      <c r="C34" s="32">
        <v>0.46060214500000002</v>
      </c>
      <c r="D34" s="32">
        <v>9.7080233000000002E-2</v>
      </c>
      <c r="E34" s="32">
        <v>0.847448647</v>
      </c>
    </row>
    <row r="35" spans="1:5">
      <c r="A35" s="32">
        <v>654</v>
      </c>
      <c r="B35" s="32" t="s">
        <v>477</v>
      </c>
      <c r="C35" s="32">
        <v>0.50155589599999995</v>
      </c>
      <c r="D35" s="32">
        <v>0.105711977</v>
      </c>
      <c r="E35" s="32">
        <v>0.85185504000000001</v>
      </c>
    </row>
    <row r="36" spans="1:5">
      <c r="A36" s="32">
        <v>654</v>
      </c>
      <c r="B36" s="32" t="s">
        <v>478</v>
      </c>
      <c r="C36" s="32">
        <v>0.54673689000000003</v>
      </c>
      <c r="D36" s="32">
        <v>0.115234688</v>
      </c>
      <c r="E36" s="32">
        <v>0.85514116299999998</v>
      </c>
    </row>
    <row r="37" spans="1:5">
      <c r="A37" s="32">
        <v>654</v>
      </c>
      <c r="B37" s="32" t="s">
        <v>479</v>
      </c>
      <c r="C37" s="32">
        <v>0.60550317600000003</v>
      </c>
      <c r="D37" s="32">
        <v>0.12762074600000001</v>
      </c>
      <c r="E37" s="32">
        <v>0.85954755500000002</v>
      </c>
    </row>
    <row r="38" spans="1:5">
      <c r="A38" s="32">
        <v>619</v>
      </c>
      <c r="B38" s="32" t="s">
        <v>476</v>
      </c>
      <c r="C38" s="32">
        <v>0.41802525600000001</v>
      </c>
      <c r="D38" s="32">
        <v>0.1301823</v>
      </c>
      <c r="E38" s="32">
        <v>0.89647227500000004</v>
      </c>
    </row>
    <row r="39" spans="1:5">
      <c r="A39" s="32">
        <v>619</v>
      </c>
      <c r="B39" s="32" t="s">
        <v>477</v>
      </c>
      <c r="C39" s="32">
        <v>0.45303243500000001</v>
      </c>
      <c r="D39" s="32">
        <v>0.14108430899999999</v>
      </c>
      <c r="E39" s="32">
        <v>0.89998441900000004</v>
      </c>
    </row>
    <row r="40" spans="1:5">
      <c r="A40" s="32">
        <v>619</v>
      </c>
      <c r="B40" s="32" t="s">
        <v>478</v>
      </c>
      <c r="C40" s="32">
        <v>0.49135508</v>
      </c>
      <c r="D40" s="32">
        <v>0.153018827</v>
      </c>
      <c r="E40" s="32">
        <v>0.90338283799999997</v>
      </c>
    </row>
    <row r="41" spans="1:5">
      <c r="A41" s="32">
        <v>619</v>
      </c>
      <c r="B41" s="32" t="s">
        <v>479</v>
      </c>
      <c r="C41" s="32">
        <v>0.54181673699999999</v>
      </c>
      <c r="D41" s="32">
        <v>0.16873370200000001</v>
      </c>
      <c r="E41" s="32">
        <v>0.90642356899999998</v>
      </c>
    </row>
  </sheetData>
  <phoneticPr fontId="6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BF53"/>
  <sheetViews>
    <sheetView showGridLines="0" topLeftCell="H1" zoomScale="85" zoomScaleNormal="85" workbookViewId="0">
      <selection activeCell="N24" sqref="N24"/>
    </sheetView>
  </sheetViews>
  <sheetFormatPr defaultColWidth="9.140625" defaultRowHeight="12.75"/>
  <cols>
    <col min="1" max="1" width="3" style="118" customWidth="1"/>
    <col min="2" max="2" width="20.7109375" style="118" hidden="1" customWidth="1"/>
    <col min="3" max="3" width="18.140625" style="118" hidden="1" customWidth="1"/>
    <col min="4" max="4" width="26.5703125" style="118" hidden="1" customWidth="1"/>
    <col min="5" max="5" width="17.28515625" style="118" hidden="1" customWidth="1"/>
    <col min="6" max="6" width="21.42578125" style="118" hidden="1" customWidth="1"/>
    <col min="7" max="7" width="10.28515625" style="118" hidden="1" customWidth="1"/>
    <col min="8" max="8" width="15.7109375" style="118" customWidth="1"/>
    <col min="9" max="9" width="23.140625" style="118" customWidth="1"/>
    <col min="10" max="10" width="21.5703125" style="118" customWidth="1"/>
    <col min="11" max="11" width="1.28515625" style="118" customWidth="1"/>
    <col min="12" max="12" width="16.42578125" style="169" customWidth="1"/>
    <col min="13" max="13" width="46.140625" style="118" customWidth="1"/>
    <col min="14" max="14" width="19.42578125" style="118" bestFit="1" customWidth="1"/>
    <col min="15" max="15" width="5.85546875" style="170" customWidth="1"/>
    <col min="16" max="16" width="40.28515625" style="118" customWidth="1"/>
    <col min="17" max="17" width="0.85546875" style="171" customWidth="1"/>
    <col min="18" max="18" width="4.140625" style="118" customWidth="1"/>
    <col min="19" max="19" width="10.140625" style="118" customWidth="1"/>
    <col min="20" max="20" width="7" style="118" customWidth="1"/>
    <col min="21" max="21" width="9.7109375" style="118" customWidth="1"/>
    <col min="22" max="22" width="10.140625" style="118" customWidth="1"/>
    <col min="23" max="23" width="9.7109375" style="118" customWidth="1"/>
    <col min="24" max="24" width="10.140625" style="118" customWidth="1"/>
    <col min="25" max="25" width="5.28515625" style="118" customWidth="1"/>
    <col min="26" max="26" width="4.85546875" style="118" customWidth="1"/>
    <col min="27" max="27" width="10.140625" style="118" customWidth="1"/>
    <col min="28" max="28" width="7" style="118" customWidth="1"/>
    <col min="29" max="29" width="10.85546875" style="118" customWidth="1"/>
    <col min="30" max="30" width="10.140625" style="118" customWidth="1"/>
    <col min="31" max="31" width="11.42578125" style="118" customWidth="1"/>
    <col min="32" max="32" width="10.140625" style="118" customWidth="1"/>
    <col min="33" max="33" width="4.85546875" style="118" customWidth="1"/>
    <col min="34" max="34" width="7.5703125" style="118" hidden="1" customWidth="1"/>
    <col min="35" max="36" width="11" style="118" hidden="1" customWidth="1"/>
    <col min="37" max="37" width="3.5703125" style="118" hidden="1" customWidth="1"/>
    <col min="38" max="39" width="11" style="118" hidden="1" customWidth="1"/>
    <col min="40" max="40" width="4" style="118" hidden="1" customWidth="1"/>
    <col min="41" max="48" width="11" style="118" hidden="1" customWidth="1"/>
    <col min="49" max="51" width="5.85546875" style="118" customWidth="1"/>
    <col min="52" max="52" width="5.85546875" style="118" hidden="1" customWidth="1"/>
    <col min="53" max="56" width="5.85546875" style="170" hidden="1" customWidth="1"/>
    <col min="57" max="58" width="5.85546875" style="118" hidden="1" customWidth="1"/>
    <col min="59" max="16384" width="9.140625" style="118"/>
  </cols>
  <sheetData>
    <row r="1" spans="1:56">
      <c r="M1" s="23"/>
      <c r="N1" s="261" t="s">
        <v>175</v>
      </c>
      <c r="O1" s="170" t="s">
        <v>175</v>
      </c>
      <c r="P1" s="260" t="s">
        <v>175</v>
      </c>
      <c r="X1" s="118">
        <v>2</v>
      </c>
      <c r="BA1" s="189">
        <v>1</v>
      </c>
      <c r="BB1" s="189">
        <v>7</v>
      </c>
      <c r="BC1" s="189">
        <v>3</v>
      </c>
      <c r="BD1" s="189">
        <v>8</v>
      </c>
    </row>
    <row r="2" spans="1:56" ht="23.25">
      <c r="C2" s="475">
        <v>2</v>
      </c>
      <c r="D2" s="475"/>
      <c r="M2" s="110" t="s">
        <v>15</v>
      </c>
      <c r="N2" s="111"/>
      <c r="O2" s="111"/>
      <c r="P2" s="111"/>
      <c r="AA2" s="118" t="s">
        <v>175</v>
      </c>
      <c r="BA2" s="189" t="s">
        <v>283</v>
      </c>
      <c r="BB2" s="189" t="s">
        <v>286</v>
      </c>
      <c r="BC2" s="189" t="s">
        <v>282</v>
      </c>
      <c r="BD2" s="189" t="s">
        <v>287</v>
      </c>
    </row>
    <row r="3" spans="1:56" ht="13.5" thickBot="1">
      <c r="B3" s="118">
        <v>1</v>
      </c>
      <c r="C3" s="477" t="s">
        <v>470</v>
      </c>
      <c r="D3" s="478"/>
      <c r="N3" s="118" t="s">
        <v>175</v>
      </c>
      <c r="BA3" s="102">
        <v>34</v>
      </c>
      <c r="BB3" s="189">
        <v>34</v>
      </c>
      <c r="BC3" s="189">
        <v>80</v>
      </c>
      <c r="BD3" s="189">
        <v>34</v>
      </c>
    </row>
    <row r="4" spans="1:56" s="123" customFormat="1" ht="21.75" customHeight="1" thickBot="1">
      <c r="B4" s="40">
        <v>2</v>
      </c>
      <c r="C4" s="409" t="s">
        <v>461</v>
      </c>
      <c r="D4" s="410"/>
      <c r="L4" s="122"/>
      <c r="M4" s="495" t="s">
        <v>289</v>
      </c>
      <c r="N4" s="496"/>
      <c r="O4" s="496"/>
      <c r="P4" s="497"/>
      <c r="Q4" s="124"/>
      <c r="R4" s="501" t="s">
        <v>296</v>
      </c>
      <c r="S4" s="502"/>
      <c r="T4" s="502"/>
      <c r="U4" s="502"/>
      <c r="V4" s="502"/>
      <c r="W4" s="502"/>
      <c r="X4" s="502"/>
      <c r="Y4" s="502"/>
      <c r="Z4" s="502"/>
      <c r="AA4" s="502"/>
      <c r="AB4" s="502"/>
      <c r="AC4" s="502"/>
      <c r="AD4" s="502"/>
      <c r="AE4" s="502"/>
      <c r="AF4" s="502"/>
      <c r="AG4" s="503"/>
      <c r="BA4" s="102">
        <v>48</v>
      </c>
      <c r="BB4" s="189">
        <v>40</v>
      </c>
      <c r="BC4" s="189">
        <v>120</v>
      </c>
      <c r="BD4" s="189">
        <v>40</v>
      </c>
    </row>
    <row r="5" spans="1:56" ht="24" thickBot="1">
      <c r="B5" s="118">
        <v>3</v>
      </c>
      <c r="C5" s="409" t="s">
        <v>457</v>
      </c>
      <c r="D5" s="410"/>
      <c r="L5" s="109"/>
      <c r="M5" s="498" t="s">
        <v>281</v>
      </c>
      <c r="N5" s="499"/>
      <c r="O5" s="499"/>
      <c r="P5" s="500"/>
      <c r="R5" s="483" t="s">
        <v>197</v>
      </c>
      <c r="S5" s="484"/>
      <c r="T5" s="484"/>
      <c r="U5" s="484"/>
      <c r="V5" s="484"/>
      <c r="W5" s="484"/>
      <c r="X5" s="484"/>
      <c r="Y5" s="485"/>
      <c r="Z5" s="483" t="s">
        <v>198</v>
      </c>
      <c r="AA5" s="486"/>
      <c r="AB5" s="486"/>
      <c r="AC5" s="486"/>
      <c r="AD5" s="486"/>
      <c r="AE5" s="486"/>
      <c r="AF5" s="486"/>
      <c r="AG5" s="487"/>
      <c r="BA5" s="189" t="s">
        <v>175</v>
      </c>
      <c r="BB5" s="189">
        <v>48</v>
      </c>
      <c r="BC5" s="189">
        <v>240</v>
      </c>
      <c r="BD5" s="189">
        <v>48</v>
      </c>
    </row>
    <row r="6" spans="1:56" ht="12.6" customHeight="1" thickBot="1">
      <c r="B6" s="118">
        <v>4</v>
      </c>
      <c r="C6" s="409" t="s">
        <v>462</v>
      </c>
      <c r="D6" s="410"/>
      <c r="L6" s="109"/>
      <c r="M6" s="110"/>
      <c r="N6" s="111"/>
      <c r="O6" s="111"/>
      <c r="P6" s="111"/>
      <c r="Q6" s="118"/>
      <c r="R6" s="172"/>
      <c r="S6" s="173"/>
      <c r="T6" s="173"/>
      <c r="U6" s="173"/>
      <c r="V6" s="173"/>
      <c r="W6" s="173"/>
      <c r="X6" s="173"/>
      <c r="Y6" s="174"/>
      <c r="Z6" s="172"/>
      <c r="AG6" s="175"/>
      <c r="BA6" s="189" t="s">
        <v>175</v>
      </c>
      <c r="BB6" s="189">
        <v>60</v>
      </c>
      <c r="BC6" s="189" t="s">
        <v>175</v>
      </c>
      <c r="BD6" s="189">
        <v>60</v>
      </c>
    </row>
    <row r="7" spans="1:56" ht="15.75" customHeight="1">
      <c r="B7" s="118">
        <v>5</v>
      </c>
      <c r="C7" s="479" t="s">
        <v>420</v>
      </c>
      <c r="D7" s="480"/>
      <c r="M7" s="404" t="s">
        <v>171</v>
      </c>
      <c r="N7" s="405">
        <v>1.2</v>
      </c>
      <c r="O7" s="406" t="s">
        <v>10</v>
      </c>
      <c r="P7" s="85" t="str">
        <f>IF(N7&lt;'DDR4 Config'!D16,"ERROR, VCC too Low",IF(N7&gt;'DDR4 Config'!D15,"ERROR, VCC too High",""))</f>
        <v>ERROR, VCC too High</v>
      </c>
      <c r="Q7" s="118"/>
      <c r="R7" s="176"/>
      <c r="Y7" s="175"/>
      <c r="Z7" s="176"/>
      <c r="AG7" s="175"/>
      <c r="BA7" s="189" t="s">
        <v>175</v>
      </c>
      <c r="BB7" s="189">
        <v>80</v>
      </c>
      <c r="BC7" s="189" t="s">
        <v>175</v>
      </c>
      <c r="BD7" s="189">
        <v>80</v>
      </c>
    </row>
    <row r="8" spans="1:56" ht="15">
      <c r="C8" s="474"/>
      <c r="D8" s="474"/>
      <c r="J8" s="505" t="s">
        <v>425</v>
      </c>
      <c r="K8" s="506"/>
      <c r="M8" s="394" t="s">
        <v>246</v>
      </c>
      <c r="N8" s="395">
        <v>2.5</v>
      </c>
      <c r="O8" s="396" t="s">
        <v>10</v>
      </c>
      <c r="P8" s="397" t="str">
        <f>IF(N8&lt;'DDR4 Config'!D18,"ERROR, VPP too Low",IF(N8&gt;'DDR4 Config'!D17,"ERROR, VPP too High",""))</f>
        <v>ERROR, VPP too High</v>
      </c>
      <c r="Q8" s="118"/>
      <c r="R8" s="176"/>
      <c r="Y8" s="175"/>
      <c r="Z8" s="176"/>
      <c r="AG8" s="175"/>
      <c r="BA8" s="189" t="s">
        <v>175</v>
      </c>
      <c r="BB8" s="189">
        <v>120</v>
      </c>
      <c r="BC8" s="189" t="s">
        <v>175</v>
      </c>
      <c r="BD8" s="189">
        <v>120</v>
      </c>
    </row>
    <row r="9" spans="1:56" ht="15">
      <c r="J9" s="506"/>
      <c r="K9" s="506"/>
      <c r="L9" s="259">
        <f>IF('DDR4 Config'!D9 = "-107E", 1000000/1071, IF('DDR4 Config'!D9 = "-093", 1000000/937, IF('DDR4 Config'!D9 = "-093E", 1000000/937, IF('DDR4 Config'!D9 = "-083", 1000000/833, IF('DDR4 Config'!D9 = "-083E", 1000000/833, IF('DDR4 Config'!D9 = "-075", 1000000/750, IF('DDR4 Config'!D9 = "-075E", 1000000/750, IF('DDR4 Config'!D9 = "-068", 1000000/682, IF('DDR4 Config'!D9 = "-068E", 1000000/682, IF('DDR4 Config'!D9 = "-062E", 1000000/625, 0))))))))))</f>
        <v>1200.4801920768307</v>
      </c>
      <c r="M9" s="87" t="s">
        <v>238</v>
      </c>
      <c r="N9" s="407">
        <f>IF('DDR4 Config'!D9 = "-107E", 1000000/1071, IF('DDR4 Config'!D9 = "-093", 1000000/937, IF('DDR4 Config'!D9 = "-093E", 1000000/937, IF('DDR4 Config'!D9 = "-083", 1000000/833, IF('DDR4 Config'!D9 = "-083E", 1000000/833, IF('DDR4 Config'!D9 = "-075", 1000000/750, IF('DDR4 Config'!D9 = "-075E", 1000000/750, IF('DDR4 Config'!D9 = "-068", 1000000/682, IF('DDR4 Config'!D9 = "-068E", 1000000/682, IF('DDR4 Config'!D9 = "-062E", 1000000/625, 0))))))))))</f>
        <v>1200.4801920768307</v>
      </c>
      <c r="O9" s="88" t="s">
        <v>9</v>
      </c>
      <c r="P9" s="391" t="str">
        <f>IF(N9+0.1&lt;1000/'DDR4 Config'!D48,"ERROR, frequency too low",IF(N9-0.5&gt; 1000 /'DDR4 Config'!D47,"ERROR, frequency too high",               IF('DDR4 Config'!D9 = "-107E","DDR4-1866 Base", IF('DDR4 Config'!D9 = "-093", "DDR4-2133  Base", IF('DDR4 Config'!D9 = "-093E", "DDR4-2133  Base", IF('DDR4 Config'!D9 = "-083", "DDR4-2400  Base", IF('DDR4 Config'!D9 = "-083E",  "DDR4-2400  Base", IF('DDR4 Config'!D9 = "-075",  "DDR4-2666  Base", IF('DDR4 Config'!D9 = "-075E",  "DDR4-2666  Base", IF('DDR4 Config'!D9 = "-068",  "DDR4-2933  Base", IF('DDR4 Config'!D9 = "-068E","DDR4-2933  Base", IF('DDR4 Config'!D9 = "-062E",  "DDR4-3200  Base", " K"))))))))))          ))</f>
        <v>DDR4-2400  Base</v>
      </c>
      <c r="Q9" s="118"/>
      <c r="R9" s="176"/>
      <c r="Y9" s="175"/>
      <c r="Z9" s="176"/>
      <c r="AG9" s="175"/>
      <c r="BA9" s="189" t="s">
        <v>175</v>
      </c>
      <c r="BB9" s="189">
        <v>240</v>
      </c>
      <c r="BC9" s="189" t="s">
        <v>175</v>
      </c>
      <c r="BD9" s="189">
        <v>240</v>
      </c>
    </row>
    <row r="10" spans="1:56" ht="15">
      <c r="J10" s="506"/>
      <c r="K10" s="506"/>
      <c r="L10" s="259" t="s">
        <v>175</v>
      </c>
      <c r="M10" s="87" t="s">
        <v>127</v>
      </c>
      <c r="N10" s="66">
        <v>8</v>
      </c>
      <c r="O10" s="88"/>
      <c r="P10" s="90" t="s">
        <v>249</v>
      </c>
      <c r="Q10" s="118"/>
      <c r="R10" s="176"/>
      <c r="Y10" s="175"/>
      <c r="Z10" s="176"/>
      <c r="AG10" s="175"/>
      <c r="BA10" s="210" t="s">
        <v>175</v>
      </c>
      <c r="BB10" s="210">
        <v>0</v>
      </c>
      <c r="BD10" s="210">
        <v>0</v>
      </c>
    </row>
    <row r="11" spans="1:56" ht="15.75" thickBot="1">
      <c r="M11" s="87"/>
      <c r="N11" s="68"/>
      <c r="O11" s="88"/>
      <c r="P11" s="90"/>
      <c r="Q11" s="118"/>
      <c r="R11" s="176"/>
      <c r="Y11" s="175"/>
      <c r="Z11" s="176"/>
      <c r="AG11" s="175"/>
    </row>
    <row r="12" spans="1:56" ht="30" customHeight="1">
      <c r="L12" s="398" t="s">
        <v>68</v>
      </c>
      <c r="M12" s="87" t="s">
        <v>250</v>
      </c>
      <c r="N12" s="212">
        <f>IF(V20= "na",0, V20) +IF(V21= "na",0, V21)</f>
        <v>8.5576695389234096</v>
      </c>
      <c r="O12" s="88" t="s">
        <v>8</v>
      </c>
      <c r="P12" s="488" t="s">
        <v>290</v>
      </c>
      <c r="Q12" s="118"/>
      <c r="R12" s="176"/>
      <c r="Y12" s="175"/>
      <c r="Z12" s="176"/>
      <c r="AG12" s="175"/>
    </row>
    <row r="13" spans="1:56" ht="30" customHeight="1">
      <c r="I13" s="476" t="s">
        <v>463</v>
      </c>
      <c r="J13" s="476"/>
      <c r="K13" s="96"/>
      <c r="L13" s="399" t="s">
        <v>69</v>
      </c>
      <c r="M13" s="87" t="s">
        <v>251</v>
      </c>
      <c r="N13" s="212">
        <f>IF(AD20= "na",0, AD20) +IF(AD21= "na",0, AD21)</f>
        <v>4.3964990840626905</v>
      </c>
      <c r="O13" s="88" t="s">
        <v>8</v>
      </c>
      <c r="P13" s="489"/>
      <c r="Q13" s="86"/>
      <c r="R13" s="176"/>
      <c r="Y13" s="175"/>
      <c r="Z13" s="176"/>
      <c r="AG13" s="175"/>
    </row>
    <row r="14" spans="1:56" ht="30" customHeight="1" thickBot="1">
      <c r="I14" s="476"/>
      <c r="J14" s="476"/>
      <c r="K14" s="96"/>
      <c r="L14" s="399" t="s">
        <v>71</v>
      </c>
      <c r="M14" s="87" t="s">
        <v>263</v>
      </c>
      <c r="N14" s="212">
        <f>IF( X15 = 0, 0,X20+  X21)</f>
        <v>1.1968506010703013</v>
      </c>
      <c r="O14" s="88" t="s">
        <v>8</v>
      </c>
      <c r="P14" s="488" t="s">
        <v>196</v>
      </c>
      <c r="Q14" s="86"/>
      <c r="R14" s="176"/>
      <c r="S14" s="20" t="s">
        <v>304</v>
      </c>
      <c r="X14" s="3" t="s">
        <v>288</v>
      </c>
      <c r="Y14" s="175"/>
      <c r="Z14" s="176"/>
      <c r="AA14" s="20" t="s">
        <v>304</v>
      </c>
      <c r="AF14" s="3" t="s">
        <v>288</v>
      </c>
      <c r="AG14" s="175"/>
      <c r="AI14" s="177" t="s">
        <v>189</v>
      </c>
      <c r="AJ14" s="178">
        <f>1*AB19/AB15</f>
        <v>4.1522491349480974</v>
      </c>
      <c r="AK14" s="177"/>
      <c r="AL14" s="177" t="s">
        <v>191</v>
      </c>
      <c r="AM14" s="178">
        <f>1000*((AB17-0.001*AD19)/AD15)</f>
        <v>4.1522491349480966</v>
      </c>
      <c r="AN14" s="177"/>
      <c r="AO14" s="177" t="s">
        <v>191</v>
      </c>
      <c r="AP14" s="178" t="e">
        <f>1000*((AB17-0.001*AF19)/AF15)</f>
        <v>#DIV/0!</v>
      </c>
      <c r="AQ14" s="102"/>
      <c r="AR14" s="102"/>
      <c r="AS14" s="102"/>
      <c r="AT14" s="102"/>
      <c r="AU14" s="102"/>
      <c r="AV14" s="102"/>
    </row>
    <row r="15" spans="1:56" ht="30" customHeight="1" thickBot="1">
      <c r="B15" s="170"/>
      <c r="C15" s="170"/>
      <c r="D15" s="170"/>
      <c r="E15" s="170"/>
      <c r="F15" s="170"/>
      <c r="I15" s="493"/>
      <c r="J15" s="494"/>
      <c r="K15" s="170"/>
      <c r="L15" s="399" t="s">
        <v>70</v>
      </c>
      <c r="M15" s="87" t="s">
        <v>264</v>
      </c>
      <c r="N15" s="212">
        <f>IF( AF15 = 0, 0,AF20+  AF21)</f>
        <v>0</v>
      </c>
      <c r="O15" s="88" t="s">
        <v>8</v>
      </c>
      <c r="P15" s="489"/>
      <c r="Q15" s="86"/>
      <c r="R15" s="176"/>
      <c r="S15" s="218" t="s">
        <v>179</v>
      </c>
      <c r="T15" s="221">
        <v>50</v>
      </c>
      <c r="U15" s="218" t="s">
        <v>291</v>
      </c>
      <c r="V15" s="214">
        <f>INDEX(BA3:BA4,BA1)</f>
        <v>34</v>
      </c>
      <c r="W15" s="223" t="s">
        <v>180</v>
      </c>
      <c r="X15" s="213">
        <f>INDEX(BB3:BB11,BB1)</f>
        <v>240</v>
      </c>
      <c r="Y15" s="175"/>
      <c r="Z15" s="176" t="s">
        <v>175</v>
      </c>
      <c r="AA15" s="218" t="s">
        <v>181</v>
      </c>
      <c r="AB15" s="221">
        <v>34</v>
      </c>
      <c r="AC15" s="218" t="s">
        <v>293</v>
      </c>
      <c r="AD15" s="214">
        <f>INDEX(BC3:BC5,BC1)</f>
        <v>240</v>
      </c>
      <c r="AE15" s="217" t="s">
        <v>295</v>
      </c>
      <c r="AF15" s="214">
        <f>INDEX(BD3:BD11,BD1)</f>
        <v>0</v>
      </c>
      <c r="AG15" s="175"/>
      <c r="AI15" s="102"/>
      <c r="AJ15" s="102"/>
      <c r="AK15" s="102"/>
      <c r="AL15" s="177" t="s">
        <v>190</v>
      </c>
      <c r="AM15" s="178">
        <f>1*AD19/AD16</f>
        <v>13.564013840830452</v>
      </c>
      <c r="AN15" s="177"/>
      <c r="AO15" s="177" t="s">
        <v>190</v>
      </c>
      <c r="AP15" s="178">
        <f>1*AF19/AF16</f>
        <v>0</v>
      </c>
      <c r="AQ15" s="102"/>
      <c r="AR15" s="102"/>
      <c r="AS15" s="102"/>
      <c r="AT15" s="102"/>
      <c r="AU15" s="102"/>
      <c r="AV15" s="102"/>
    </row>
    <row r="16" spans="1:56" ht="39" customHeight="1" thickBot="1">
      <c r="A16" s="102"/>
      <c r="B16" s="342" t="s">
        <v>470</v>
      </c>
      <c r="C16" s="342" t="s">
        <v>427</v>
      </c>
      <c r="D16" s="342" t="s">
        <v>428</v>
      </c>
      <c r="E16" s="342" t="s">
        <v>429</v>
      </c>
      <c r="F16" s="376" t="s">
        <v>421</v>
      </c>
      <c r="G16" s="411"/>
      <c r="H16" s="96"/>
      <c r="I16" s="342" t="str">
        <f>INDEX($B16:$G16,1,$C$2)</f>
        <v>Google Stress 2RX4/2Rx8 RDIMM</v>
      </c>
      <c r="J16" s="342" t="s">
        <v>422</v>
      </c>
      <c r="K16" s="96"/>
      <c r="L16" s="399"/>
      <c r="M16" s="87"/>
      <c r="N16" s="96" t="str">
        <f>IF($C$2=5,J16,I16)</f>
        <v>Google Stress 2RX4/2Rx8 RDIMM</v>
      </c>
      <c r="O16" s="88" t="s">
        <v>175</v>
      </c>
      <c r="P16" s="408" t="s">
        <v>426</v>
      </c>
      <c r="Q16" s="86"/>
      <c r="R16" s="176"/>
      <c r="S16" s="227"/>
      <c r="T16" s="228"/>
      <c r="U16" s="218" t="s">
        <v>292</v>
      </c>
      <c r="V16" s="222">
        <v>15</v>
      </c>
      <c r="W16" s="218" t="s">
        <v>186</v>
      </c>
      <c r="X16" s="221">
        <v>15</v>
      </c>
      <c r="Y16" s="175"/>
      <c r="Z16" s="176"/>
      <c r="AA16" s="227"/>
      <c r="AB16" s="228"/>
      <c r="AC16" s="220" t="s">
        <v>292</v>
      </c>
      <c r="AD16" s="215">
        <f>V16</f>
        <v>15</v>
      </c>
      <c r="AE16" s="219" t="s">
        <v>294</v>
      </c>
      <c r="AF16" s="216">
        <f>X16</f>
        <v>15</v>
      </c>
      <c r="AG16" s="175"/>
      <c r="AI16" s="102"/>
      <c r="AJ16" s="102"/>
      <c r="AK16" s="102"/>
      <c r="AL16" s="177" t="s">
        <v>192</v>
      </c>
      <c r="AM16" s="178" t="e">
        <f>1*(AD19-AB19)/AD17</f>
        <v>#DIV/0!</v>
      </c>
      <c r="AN16" s="177"/>
      <c r="AO16" s="177" t="s">
        <v>192</v>
      </c>
      <c r="AP16" s="178" t="e">
        <f>1*(AF19-AB19)/AF17</f>
        <v>#DIV/0!</v>
      </c>
      <c r="AQ16" s="102"/>
      <c r="AR16" s="102"/>
      <c r="AS16" s="102"/>
      <c r="AT16" s="102"/>
      <c r="AU16" s="102"/>
      <c r="AV16" s="102"/>
    </row>
    <row r="17" spans="2:56" ht="42" customHeight="1">
      <c r="B17" s="340">
        <v>4.8000000000000001E-2</v>
      </c>
      <c r="C17" s="340">
        <v>4.8000000000000001E-2</v>
      </c>
      <c r="D17" s="340">
        <v>4.8000000000000001E-2</v>
      </c>
      <c r="E17" s="340">
        <v>4.8000000000000001E-2</v>
      </c>
      <c r="F17" s="340" t="s">
        <v>423</v>
      </c>
      <c r="G17" s="334"/>
      <c r="H17" s="381"/>
      <c r="I17" s="377">
        <f>INDEX($B17:$G17,1,$C$2)</f>
        <v>4.8000000000000001E-2</v>
      </c>
      <c r="J17" s="336"/>
      <c r="K17" s="386"/>
      <c r="L17" s="399" t="s">
        <v>67</v>
      </c>
      <c r="M17" s="87" t="s">
        <v>430</v>
      </c>
      <c r="N17" s="392">
        <v>0</v>
      </c>
      <c r="O17" s="88" t="s">
        <v>175</v>
      </c>
      <c r="P17" s="92" t="e">
        <f>IF(SUM(N21+N23)*8/N10&gt;1,"Data Bus utilization is too high","")</f>
        <v>#REF!</v>
      </c>
      <c r="Q17" s="86"/>
      <c r="R17" s="176"/>
      <c r="S17" s="225" t="s">
        <v>183</v>
      </c>
      <c r="T17" s="226">
        <v>1.2</v>
      </c>
      <c r="V17" s="119"/>
      <c r="W17" s="119"/>
      <c r="X17" s="119"/>
      <c r="Y17" s="175"/>
      <c r="Z17" s="176"/>
      <c r="AA17" s="225" t="s">
        <v>183</v>
      </c>
      <c r="AB17" s="226">
        <f>T17</f>
        <v>1.2</v>
      </c>
      <c r="AC17" s="119"/>
      <c r="AD17" s="119"/>
      <c r="AE17" s="119"/>
      <c r="AF17" s="119"/>
      <c r="AG17" s="175"/>
      <c r="AI17" s="102"/>
      <c r="AJ17" s="102"/>
      <c r="AK17" s="102"/>
      <c r="AL17" s="102"/>
      <c r="AM17" s="102"/>
      <c r="AN17" s="102"/>
      <c r="AO17" s="102"/>
      <c r="AP17" s="102"/>
      <c r="AQ17" s="102"/>
      <c r="AR17" s="102"/>
      <c r="AS17" s="102"/>
      <c r="AT17" s="102"/>
      <c r="AU17" s="102"/>
      <c r="AV17" s="102"/>
    </row>
    <row r="18" spans="2:56" ht="33.75" customHeight="1">
      <c r="B18" s="246">
        <v>0</v>
      </c>
      <c r="C18" s="246">
        <v>0</v>
      </c>
      <c r="D18" s="246">
        <v>0</v>
      </c>
      <c r="E18" s="246">
        <v>0</v>
      </c>
      <c r="F18" s="246" t="s">
        <v>423</v>
      </c>
      <c r="G18" s="335"/>
      <c r="H18" s="379"/>
      <c r="I18" s="377">
        <f>INDEX($B18:$G18,1,$C$2)</f>
        <v>0</v>
      </c>
      <c r="J18" s="336"/>
      <c r="K18" s="386"/>
      <c r="L18" s="399" t="s">
        <v>111</v>
      </c>
      <c r="M18" s="87" t="s">
        <v>2</v>
      </c>
      <c r="N18" s="392">
        <f>IF($C$2=5,J18,I18)</f>
        <v>0</v>
      </c>
      <c r="O18" s="88" t="s">
        <v>175</v>
      </c>
      <c r="P18" s="91"/>
      <c r="Q18" s="86"/>
      <c r="R18" s="176"/>
      <c r="S18" s="20" t="s">
        <v>303</v>
      </c>
      <c r="Y18" s="175"/>
      <c r="Z18" s="176"/>
      <c r="AA18" s="20" t="s">
        <v>303</v>
      </c>
      <c r="AD18" s="179"/>
      <c r="AF18" s="179"/>
      <c r="AG18" s="175"/>
      <c r="AI18" s="102"/>
      <c r="AJ18" s="102"/>
      <c r="AK18" s="102"/>
      <c r="AL18" s="102"/>
      <c r="AM18" s="102"/>
      <c r="AN18" s="102"/>
      <c r="AO18" s="102"/>
      <c r="AP18" s="102"/>
      <c r="AQ18" s="102"/>
      <c r="AR18" s="102"/>
      <c r="AS18" s="102"/>
      <c r="AT18" s="102"/>
      <c r="AU18" s="102"/>
      <c r="AV18" s="102"/>
    </row>
    <row r="19" spans="2:56" ht="33.75" customHeight="1">
      <c r="B19" s="246">
        <v>0</v>
      </c>
      <c r="C19" s="246">
        <v>0</v>
      </c>
      <c r="D19" s="246">
        <v>0</v>
      </c>
      <c r="E19" s="246">
        <v>0</v>
      </c>
      <c r="F19" s="246" t="s">
        <v>423</v>
      </c>
      <c r="G19" s="335"/>
      <c r="H19" s="379"/>
      <c r="I19" s="377">
        <f t="shared" ref="I19:I27" si="0">INDEX($B19:$G19,1,$C$2)</f>
        <v>0</v>
      </c>
      <c r="J19" s="336"/>
      <c r="K19" s="386"/>
      <c r="L19" s="399" t="s">
        <v>112</v>
      </c>
      <c r="M19" s="87" t="s">
        <v>4</v>
      </c>
      <c r="N19" s="392">
        <f t="shared" ref="N19" si="1">IF($C$2=5,J19,I19)</f>
        <v>0</v>
      </c>
      <c r="O19" s="88" t="s">
        <v>175</v>
      </c>
      <c r="P19" s="254" t="e">
        <f>IF(1-N19&lt;N21+N23,"ERROR, CKE HI must be greater than READ and WRITE output cycles","")</f>
        <v>#REF!</v>
      </c>
      <c r="Q19" s="86"/>
      <c r="R19" s="176"/>
      <c r="S19" s="120" t="s">
        <v>193</v>
      </c>
      <c r="T19" s="207">
        <f>IF(X15&gt;0,  IF(V15&gt;0,   IF(T15&gt;0,   1000*    (T17 *(V15+V16) )/(V15+V16+((X15+X16)* T15)/(X15+X16+ T15)),"RTTC&lt;1"),"Rz1&lt;1"),                                                                                                                                                              IF(V15&gt;0,   IF(T15&gt;0,   1000*    (T17 *(V15+V16) )/(V15+V16+T15),"RTTC&lt;1"),"Rz1&lt;1"))</f>
        <v>647.5537100559668</v>
      </c>
      <c r="U19" s="120" t="s">
        <v>194</v>
      </c>
      <c r="V19" s="207">
        <f xml:space="preserve">  IF(X15&gt;0,     IF(T15&gt;0,     IF(V15&gt;0,   1000*    (T17 *V15 )/(V15+V16+((X15+X16)* T15)/(X15+X16+ T15)),"RZ&lt;1"), T15/T15),  IF(T15&gt;0,           IF(V15&gt;0,   1000*    (T17 *V15 )/(V15+V16+T15),"RZ&lt;1"), T15/T15))</f>
        <v>449.3229824878137</v>
      </c>
      <c r="W19" s="120" t="s">
        <v>195</v>
      </c>
      <c r="X19" s="207">
        <f xml:space="preserve"> IF(V15&gt;0,             IF(X15&gt;0,  1000* (T19*0.001+ (T17-T19*0.001)*X16/(X15+X16)),0), "RZ&lt;1")</f>
        <v>680.05055064091005</v>
      </c>
      <c r="Y19" s="175"/>
      <c r="Z19" s="176"/>
      <c r="AA19" s="120" t="s">
        <v>193</v>
      </c>
      <c r="AB19" s="207">
        <f xml:space="preserve">  IF(AD15&gt;0,               IF(AF15&gt;0, IF(AB15&gt;0,1000*AB17*AB15/(AB15+(AD15+AD16)*(AF15+AF16)/(AD15+AD16+AF15+AF16)),"RZc&lt;1"),  IF(AB15&gt;0,1000*AB17*AB15/(AB15+AD15+AD16), "RZc&lt;1" ) ),    " Rtt1&lt;1")</f>
        <v>141.1764705882353</v>
      </c>
      <c r="AC19" s="120" t="s">
        <v>194</v>
      </c>
      <c r="AD19" s="207">
        <f>IF(AD15&gt;0,   AB19+(1000*AB17-AB19)*AD16/(AD15+AD16),"Rtt1&lt;1")</f>
        <v>203.46020761245677</v>
      </c>
      <c r="AE19" s="120" t="s">
        <v>195</v>
      </c>
      <c r="AF19" s="207">
        <f xml:space="preserve"> IF(AD15&gt;0,        IF(AF15&gt;0,   AB19+(1000*AB17-AB19)*AF16/(AF15+AF16),0),"Rtt1&lt;1")</f>
        <v>0</v>
      </c>
      <c r="AG19" s="175"/>
      <c r="AI19" s="102"/>
      <c r="AJ19" s="102"/>
      <c r="AK19" s="102"/>
      <c r="AL19" s="102"/>
      <c r="AM19" s="102"/>
      <c r="AN19" s="102"/>
      <c r="AO19" s="102"/>
      <c r="AP19" s="102"/>
      <c r="AQ19" s="102"/>
      <c r="AR19" s="102"/>
      <c r="AS19" s="102"/>
      <c r="AT19" s="102"/>
      <c r="AU19" s="102"/>
      <c r="AV19" s="102"/>
    </row>
    <row r="20" spans="2:56" ht="27.75" customHeight="1">
      <c r="B20" s="246">
        <v>0</v>
      </c>
      <c r="C20" s="246">
        <v>0</v>
      </c>
      <c r="D20" s="246">
        <v>0</v>
      </c>
      <c r="E20" s="246">
        <v>0</v>
      </c>
      <c r="F20" s="246" t="s">
        <v>423</v>
      </c>
      <c r="G20" s="335"/>
      <c r="H20" s="379"/>
      <c r="I20" s="377">
        <f t="shared" si="0"/>
        <v>0</v>
      </c>
      <c r="J20" s="336"/>
      <c r="K20" s="386"/>
      <c r="L20" s="399" t="s">
        <v>108</v>
      </c>
      <c r="M20" s="87" t="s">
        <v>128</v>
      </c>
      <c r="N20" s="392" t="e">
        <f>#REF!</f>
        <v>#REF!</v>
      </c>
      <c r="O20" s="251" t="s">
        <v>175</v>
      </c>
      <c r="P20" s="89"/>
      <c r="Q20" s="86"/>
      <c r="R20" s="176"/>
      <c r="S20" s="120" t="s">
        <v>275</v>
      </c>
      <c r="T20" s="121">
        <f xml:space="preserve"> IF(V15&gt;0,            IF(T15&gt;0, 0.001*(1000*T17 - T19)*(1000*T17 - T19)/T15,"RTTC&lt;1"), "RZ1&lt;1")</f>
        <v>6.1039380654585367</v>
      </c>
      <c r="U20" s="120" t="s">
        <v>182</v>
      </c>
      <c r="V20" s="121">
        <f xml:space="preserve"> IF(X15&gt;0,       IF(T15&gt;0,     IF(V15&gt;0,   1000*  (  (T17 *V15 )/(V15+V16+((X15+X16)* T15)/(X15+X16+ T15))   )* (  (T17 *V15 )/(V15+V16+((X15+X16)* T15)/(X15+X16+ T15)))/ V15,"RZ&lt;1"), T15/T15),   IF(T15&gt;0,     IF(V15&gt;0,   1000*  ((T17 *V15 )/(V15+V16+ T15)   *      (T17 *V15 )/(V15+V16+ T15)  / V15),"RZ&lt;1"), T15/T15))</f>
        <v>5.9379747821101203</v>
      </c>
      <c r="W20" s="120" t="s">
        <v>188</v>
      </c>
      <c r="X20" s="121">
        <f xml:space="preserve"> IF(V15&gt;0,              IF(X15&gt;0,  1000*                 ((T17-T19*0.001)*X15/(X15+X16))    *  ((T17-T19*0.001)*X15/(X15+X16))/X15,0), "RZ&lt;1")</f>
        <v>1.1264476245367541</v>
      </c>
      <c r="Y20" s="175"/>
      <c r="Z20" s="176"/>
      <c r="AA20" s="120" t="s">
        <v>276</v>
      </c>
      <c r="AB20" s="121">
        <f xml:space="preserve">  IF(AD15&gt;0,       IF(AB15&gt;0,         0.001*  (AB19/(AB15)) * (AB19/(AB15))    *AB15, "RZc&lt;1"), "Rtt1&lt;1")</f>
        <v>0.58619987787502559</v>
      </c>
      <c r="AC20" s="120" t="s">
        <v>277</v>
      </c>
      <c r="AD20" s="121">
        <f>IF(AD15&gt;0,1000*((AB17-0.001*AD19 )*(AB17-0.001*AD19)/AD15),"Rtt1&lt;1")</f>
        <v>4.1378814908825321</v>
      </c>
      <c r="AE20" s="120" t="s">
        <v>278</v>
      </c>
      <c r="AF20" s="121">
        <f>IF(AD15&gt;0,IF(AF15&gt;0,1000*((AB17-0.001*AF19 )*(AB17-0.001*AF19)/AF15),0),"Rtt1&lt;1")</f>
        <v>0</v>
      </c>
      <c r="AG20" s="175"/>
      <c r="AI20" s="102"/>
      <c r="AJ20" s="102"/>
      <c r="AK20" s="102"/>
      <c r="AL20" s="102"/>
      <c r="AM20" s="102"/>
      <c r="AN20" s="102"/>
      <c r="AO20" s="102"/>
      <c r="AP20" s="102"/>
      <c r="AQ20" s="102"/>
      <c r="AR20" s="102"/>
      <c r="AS20" s="102"/>
      <c r="AT20" s="102"/>
      <c r="AU20" s="102"/>
      <c r="AV20" s="102"/>
    </row>
    <row r="21" spans="2:56" ht="29.25" thickBot="1">
      <c r="B21" s="246">
        <v>0.15</v>
      </c>
      <c r="C21" s="246">
        <v>0.27</v>
      </c>
      <c r="D21" s="246">
        <v>0.46</v>
      </c>
      <c r="E21" s="246">
        <v>0.32</v>
      </c>
      <c r="F21" s="246" t="s">
        <v>423</v>
      </c>
      <c r="G21" s="335"/>
      <c r="H21" s="379"/>
      <c r="I21" s="377">
        <f t="shared" si="0"/>
        <v>0.27</v>
      </c>
      <c r="J21" s="336"/>
      <c r="K21" s="386"/>
      <c r="L21" s="399" t="s">
        <v>106</v>
      </c>
      <c r="M21" s="87" t="s">
        <v>394</v>
      </c>
      <c r="N21" s="392" t="e">
        <f>#REF!</f>
        <v>#REF!</v>
      </c>
      <c r="O21" s="246" t="s">
        <v>175</v>
      </c>
      <c r="P21" s="89" t="e">
        <f>IF(SUM(N21+N23)*8/N10&gt;1,"Data Bus utilization is too high","")</f>
        <v>#REF!</v>
      </c>
      <c r="Q21" s="86"/>
      <c r="R21" s="180"/>
      <c r="S21" s="181"/>
      <c r="T21" s="181"/>
      <c r="U21" s="384" t="s">
        <v>184</v>
      </c>
      <c r="V21" s="385">
        <f>IF(V15&gt;0,IF(V16&gt;0,1000*(T19*0.001/(V15+V16))*(T19*0.001/(V15+V16))*V16,0),"Rz&lt;1")</f>
        <v>2.6196947568132889</v>
      </c>
      <c r="W21" s="384" t="s">
        <v>185</v>
      </c>
      <c r="X21" s="385">
        <f xml:space="preserve"> IF(V15&gt;0,            IF(X15&gt;0, IF(X16&gt;0, 1000*    ((T17-T19*0.001)*X16/(X15+X16))    *  ((T17-T19*0.001)*X16/(X15+X16))/X16,0),"NoRTT2"), "RZ&lt;1")</f>
        <v>7.0402976533547129E-2</v>
      </c>
      <c r="Y21" s="182"/>
      <c r="Z21" s="180"/>
      <c r="AA21" s="181"/>
      <c r="AB21" s="181"/>
      <c r="AC21" s="384" t="s">
        <v>187</v>
      </c>
      <c r="AD21" s="385">
        <f xml:space="preserve">  IF(AD15&gt;0,IF(AD16&gt;0,1000*((0.001*AD19-0.001*AB19)*(0.001*AD19-0.001*AB19)/AD16),0), "Rtt1&lt;1")</f>
        <v>0.25861759318015837</v>
      </c>
      <c r="AE21" s="384" t="s">
        <v>279</v>
      </c>
      <c r="AF21" s="385" t="str">
        <f>IF(AD15&gt;0,IF(AF15&gt;0,IF(AF16&gt;0,1000*((0.001*AF19-0.001*AB19)*(0.001*AF19-0.001*AB19)/AF16),0),"NoRTT2"),"Rtt1&lt;1")</f>
        <v>NoRTT2</v>
      </c>
      <c r="AG21" s="182"/>
      <c r="AI21" s="102"/>
      <c r="AJ21" s="102"/>
      <c r="AK21" s="102"/>
      <c r="AL21" s="102"/>
      <c r="AM21" s="102"/>
      <c r="AN21" s="102"/>
      <c r="AO21" s="102"/>
      <c r="AP21" s="102"/>
      <c r="AQ21" s="102"/>
      <c r="AR21" s="102"/>
      <c r="AS21" s="102"/>
      <c r="AT21" s="102"/>
      <c r="AU21" s="102"/>
      <c r="AV21" s="102"/>
    </row>
    <row r="22" spans="2:56" ht="28.5">
      <c r="B22" s="246">
        <v>0.5</v>
      </c>
      <c r="C22" s="246">
        <v>0.5</v>
      </c>
      <c r="D22" s="246">
        <v>0.5</v>
      </c>
      <c r="E22" s="246">
        <v>0.5</v>
      </c>
      <c r="F22" s="246" t="s">
        <v>423</v>
      </c>
      <c r="G22" s="335"/>
      <c r="H22" s="379"/>
      <c r="I22" s="377">
        <f t="shared" si="0"/>
        <v>0.5</v>
      </c>
      <c r="J22" s="336"/>
      <c r="K22" s="386"/>
      <c r="L22" s="399" t="s">
        <v>408</v>
      </c>
      <c r="M22" s="87" t="s">
        <v>409</v>
      </c>
      <c r="N22" s="392">
        <v>0</v>
      </c>
      <c r="O22" s="246"/>
      <c r="P22" s="91" t="s">
        <v>412</v>
      </c>
      <c r="Q22" s="86"/>
      <c r="AI22" s="102"/>
      <c r="AJ22" s="102"/>
      <c r="AK22" s="102"/>
      <c r="AL22" s="102"/>
      <c r="AM22" s="102"/>
      <c r="AN22" s="102"/>
      <c r="AO22" s="102"/>
      <c r="AP22" s="102"/>
      <c r="AQ22" s="102"/>
      <c r="AR22" s="102"/>
      <c r="AS22" s="102"/>
      <c r="AT22" s="102"/>
      <c r="AU22" s="102"/>
      <c r="AV22" s="102"/>
    </row>
    <row r="23" spans="2:56" ht="28.5">
      <c r="B23" s="246">
        <v>7.0000000000000007E-2</v>
      </c>
      <c r="C23" s="246">
        <v>0.13</v>
      </c>
      <c r="D23" s="246">
        <v>0.22</v>
      </c>
      <c r="E23" s="246">
        <v>0.15</v>
      </c>
      <c r="F23" s="246" t="s">
        <v>423</v>
      </c>
      <c r="G23" s="335"/>
      <c r="H23" s="379"/>
      <c r="I23" s="377">
        <f t="shared" si="0"/>
        <v>0.13</v>
      </c>
      <c r="J23" s="336"/>
      <c r="K23" s="386"/>
      <c r="L23" s="399" t="s">
        <v>107</v>
      </c>
      <c r="M23" s="87" t="s">
        <v>395</v>
      </c>
      <c r="N23" s="392">
        <v>0.3</v>
      </c>
      <c r="O23" s="246" t="s">
        <v>175</v>
      </c>
      <c r="P23" s="92" t="e">
        <f>IF(SUM(N21+N23)*8/N10&gt;1,"Data Bus utilization is too high","")</f>
        <v>#REF!</v>
      </c>
      <c r="Q23" s="86"/>
      <c r="R23" s="490"/>
      <c r="S23" s="490"/>
      <c r="T23" s="490"/>
      <c r="U23" s="490"/>
      <c r="V23" s="490"/>
      <c r="W23" s="490"/>
      <c r="X23" s="490"/>
      <c r="Y23" s="490"/>
      <c r="Z23" s="490"/>
      <c r="AA23" s="490"/>
      <c r="AB23" s="490"/>
      <c r="AC23" s="490"/>
      <c r="AD23" s="490"/>
      <c r="AE23" s="490"/>
      <c r="AF23" s="490"/>
      <c r="AG23" s="490"/>
      <c r="AI23" s="102"/>
      <c r="AJ23" s="102"/>
      <c r="AK23" s="102"/>
      <c r="AL23" s="102"/>
      <c r="AM23" s="102"/>
      <c r="AN23" s="102"/>
      <c r="AO23" s="102"/>
      <c r="AP23" s="102"/>
      <c r="AQ23" s="102"/>
      <c r="AR23" s="102"/>
      <c r="AS23" s="102"/>
      <c r="AT23" s="102"/>
      <c r="AU23" s="102"/>
      <c r="AV23" s="102"/>
    </row>
    <row r="24" spans="2:56" ht="28.5">
      <c r="B24" s="246">
        <v>0.5</v>
      </c>
      <c r="C24" s="246">
        <v>0.5</v>
      </c>
      <c r="D24" s="246">
        <v>0.5</v>
      </c>
      <c r="E24" s="246">
        <v>0.5</v>
      </c>
      <c r="F24" s="246" t="s">
        <v>423</v>
      </c>
      <c r="G24" s="335"/>
      <c r="H24" s="379"/>
      <c r="I24" s="377">
        <f t="shared" si="0"/>
        <v>0.5</v>
      </c>
      <c r="J24" s="336"/>
      <c r="K24" s="386"/>
      <c r="L24" s="399" t="s">
        <v>410</v>
      </c>
      <c r="M24" s="87" t="s">
        <v>411</v>
      </c>
      <c r="N24" s="392">
        <v>0</v>
      </c>
      <c r="O24" s="246"/>
      <c r="P24" s="91" t="s">
        <v>412</v>
      </c>
      <c r="Q24" s="86"/>
      <c r="R24" s="491"/>
      <c r="S24" s="492"/>
      <c r="T24" s="492"/>
      <c r="U24" s="492"/>
      <c r="V24" s="492"/>
      <c r="W24" s="492"/>
      <c r="X24" s="492"/>
      <c r="Y24" s="492"/>
      <c r="Z24" s="492"/>
      <c r="AA24" s="492"/>
      <c r="AB24" s="492"/>
      <c r="AC24" s="492"/>
      <c r="AD24" s="492"/>
      <c r="AE24" s="492"/>
      <c r="AF24" s="492"/>
      <c r="AG24" s="492"/>
      <c r="AI24" s="102"/>
      <c r="AJ24" s="102"/>
      <c r="AK24" s="102"/>
      <c r="AL24" s="102"/>
      <c r="AM24" s="102"/>
      <c r="AN24" s="102"/>
      <c r="AO24" s="102"/>
      <c r="AP24" s="102"/>
      <c r="AQ24" s="102"/>
      <c r="AR24" s="102"/>
      <c r="AS24" s="102"/>
      <c r="AT24" s="102"/>
      <c r="AU24" s="102"/>
      <c r="AV24" s="102"/>
    </row>
    <row r="25" spans="2:56" ht="28.5">
      <c r="B25" s="341">
        <v>0.15</v>
      </c>
      <c r="C25" s="341">
        <v>0.27</v>
      </c>
      <c r="D25" s="341">
        <v>0</v>
      </c>
      <c r="E25" s="341">
        <v>0</v>
      </c>
      <c r="F25" s="341" t="s">
        <v>423</v>
      </c>
      <c r="G25" s="375"/>
      <c r="H25" s="379"/>
      <c r="I25" s="377">
        <f t="shared" si="0"/>
        <v>0.27</v>
      </c>
      <c r="J25" s="389"/>
      <c r="K25" s="387"/>
      <c r="L25" s="399" t="s">
        <v>109</v>
      </c>
      <c r="M25" s="87" t="s">
        <v>252</v>
      </c>
      <c r="N25" s="392">
        <v>0</v>
      </c>
      <c r="O25" s="88" t="s">
        <v>175</v>
      </c>
      <c r="P25" s="92" t="s">
        <v>254</v>
      </c>
      <c r="Q25" s="86"/>
      <c r="AI25" s="102"/>
      <c r="AJ25" s="102"/>
      <c r="AK25" s="102"/>
      <c r="AL25" s="102"/>
      <c r="AM25" s="102"/>
      <c r="AN25" s="102"/>
      <c r="AO25" s="102"/>
      <c r="AP25" s="102"/>
      <c r="AQ25" s="102"/>
      <c r="AR25" s="102"/>
      <c r="AS25" s="102"/>
      <c r="AT25" s="102"/>
      <c r="AU25" s="102"/>
      <c r="AV25" s="102"/>
    </row>
    <row r="26" spans="2:56" ht="28.5">
      <c r="B26" s="341">
        <v>7.0000000000000007E-2</v>
      </c>
      <c r="C26" s="341">
        <v>0.13</v>
      </c>
      <c r="D26" s="341">
        <v>0</v>
      </c>
      <c r="E26" s="341">
        <v>0</v>
      </c>
      <c r="F26" s="341" t="s">
        <v>423</v>
      </c>
      <c r="G26" s="375"/>
      <c r="H26" s="379"/>
      <c r="I26" s="377">
        <f t="shared" si="0"/>
        <v>0.13</v>
      </c>
      <c r="J26" s="336"/>
      <c r="K26" s="386"/>
      <c r="L26" s="399" t="s">
        <v>110</v>
      </c>
      <c r="M26" s="87" t="s">
        <v>253</v>
      </c>
      <c r="N26" s="392">
        <v>0</v>
      </c>
      <c r="O26" s="88" t="s">
        <v>175</v>
      </c>
      <c r="P26" s="92" t="s">
        <v>254</v>
      </c>
      <c r="Q26" s="86"/>
      <c r="AI26" s="102"/>
      <c r="AJ26" s="102"/>
      <c r="AK26" s="102"/>
      <c r="AL26" s="102"/>
      <c r="AM26" s="102"/>
      <c r="AN26" s="102"/>
      <c r="AO26" s="102"/>
      <c r="AP26" s="102"/>
      <c r="AQ26" s="102"/>
      <c r="AR26" s="102"/>
      <c r="AS26" s="102"/>
      <c r="AT26" s="102"/>
      <c r="AU26" s="102"/>
      <c r="AV26" s="102"/>
      <c r="AY26" s="118" t="s">
        <v>175</v>
      </c>
    </row>
    <row r="27" spans="2:56" ht="42.75">
      <c r="B27" s="339">
        <v>124</v>
      </c>
      <c r="C27" s="339">
        <v>124</v>
      </c>
      <c r="D27" s="339">
        <v>124</v>
      </c>
      <c r="E27" s="339">
        <v>124</v>
      </c>
      <c r="F27" s="339" t="s">
        <v>423</v>
      </c>
      <c r="G27" s="170"/>
      <c r="H27" s="380"/>
      <c r="I27" s="378">
        <f t="shared" si="0"/>
        <v>124</v>
      </c>
      <c r="J27" s="390"/>
      <c r="K27" s="388"/>
      <c r="L27" s="400" t="s">
        <v>393</v>
      </c>
      <c r="M27" s="402" t="s">
        <v>397</v>
      </c>
      <c r="N27" s="393">
        <f>IF($C$2=5,J27,I27)</f>
        <v>124</v>
      </c>
      <c r="O27" s="368" t="s">
        <v>27</v>
      </c>
      <c r="P27" s="91" t="s">
        <v>396</v>
      </c>
      <c r="Q27" s="86"/>
      <c r="AI27" s="102"/>
      <c r="AJ27" s="102"/>
      <c r="AK27" s="102"/>
      <c r="AL27" s="102"/>
      <c r="AM27" s="102"/>
      <c r="AN27" s="102"/>
      <c r="AO27" s="102"/>
      <c r="AP27" s="102"/>
      <c r="AQ27" s="102"/>
      <c r="AR27" s="102"/>
      <c r="AS27" s="102"/>
      <c r="AT27" s="102"/>
      <c r="AU27" s="102"/>
      <c r="AV27" s="102"/>
    </row>
    <row r="28" spans="2:56" ht="43.5" thickBot="1">
      <c r="L28" s="401" t="s">
        <v>305</v>
      </c>
      <c r="M28" s="403" t="s">
        <v>62</v>
      </c>
      <c r="N28" s="382" t="e">
        <f>INT(N40*10000/N9)/10</f>
        <v>#REF!</v>
      </c>
      <c r="O28" s="93" t="s">
        <v>27</v>
      </c>
      <c r="P28" s="383" t="s">
        <v>424</v>
      </c>
      <c r="Q28" s="86"/>
      <c r="AI28" s="102"/>
      <c r="AJ28" s="102"/>
      <c r="AK28" s="102"/>
      <c r="AL28" s="102"/>
      <c r="AM28" s="102"/>
      <c r="AN28" s="102"/>
      <c r="AO28" s="102"/>
      <c r="AP28" s="102"/>
      <c r="AQ28" s="102"/>
      <c r="AR28" s="102"/>
      <c r="AS28" s="102"/>
      <c r="AT28" s="102"/>
      <c r="AU28" s="102"/>
      <c r="AV28" s="102"/>
    </row>
    <row r="29" spans="2:56" ht="15">
      <c r="B29" s="96"/>
      <c r="M29" s="504"/>
      <c r="N29" s="504"/>
      <c r="O29" s="94"/>
      <c r="P29" s="86"/>
      <c r="Q29" s="86" t="s">
        <v>175</v>
      </c>
      <c r="AI29" s="102"/>
      <c r="AJ29" s="102"/>
      <c r="AK29" s="102"/>
      <c r="AL29" s="102"/>
      <c r="AM29" s="102"/>
      <c r="AN29" s="102"/>
      <c r="AO29" s="102"/>
      <c r="AP29" s="102"/>
      <c r="AQ29" s="102"/>
      <c r="AR29" s="102"/>
      <c r="AS29" s="102"/>
      <c r="AT29" s="102"/>
      <c r="AU29" s="102"/>
      <c r="AV29" s="102"/>
      <c r="AY29" s="208"/>
      <c r="AZ29" s="208"/>
      <c r="BA29" s="209"/>
      <c r="BB29" s="209"/>
      <c r="BC29" s="209"/>
      <c r="BD29" s="209"/>
    </row>
    <row r="30" spans="2:56" ht="43.5" customHeight="1">
      <c r="B30" s="96"/>
      <c r="M30" s="491"/>
      <c r="N30" s="492"/>
      <c r="Q30" s="95"/>
      <c r="AI30" s="102"/>
      <c r="AJ30" s="102"/>
      <c r="AK30" s="102"/>
      <c r="AL30" s="102"/>
      <c r="AM30" s="102"/>
      <c r="AN30" s="102"/>
      <c r="AO30" s="102"/>
      <c r="AP30" s="102"/>
      <c r="AQ30" s="102"/>
      <c r="AR30" s="102"/>
      <c r="AS30" s="102"/>
      <c r="AT30" s="102"/>
      <c r="AU30" s="102"/>
      <c r="AV30" s="102"/>
      <c r="AY30" s="208"/>
      <c r="AZ30" s="208"/>
      <c r="BA30" s="209"/>
      <c r="BB30" s="209"/>
      <c r="BC30" s="209"/>
      <c r="BD30" s="209"/>
    </row>
    <row r="31" spans="2:56" ht="13.5" hidden="1" customHeight="1">
      <c r="AI31" s="102"/>
      <c r="AJ31" s="102"/>
      <c r="AK31" s="102"/>
      <c r="AL31" s="102"/>
      <c r="AM31" s="102"/>
      <c r="AN31" s="102"/>
      <c r="AO31" s="102"/>
      <c r="AP31" s="102"/>
      <c r="AQ31" s="102"/>
      <c r="AR31" s="102"/>
      <c r="AS31" s="102"/>
      <c r="AT31" s="102"/>
      <c r="AU31" s="102"/>
      <c r="AV31" s="102"/>
      <c r="AY31" s="208"/>
      <c r="AZ31" s="208"/>
      <c r="BA31" s="209"/>
      <c r="BB31" s="209"/>
      <c r="BC31" s="209"/>
      <c r="BD31" s="209"/>
    </row>
    <row r="32" spans="2:56" ht="24" hidden="1" customHeight="1">
      <c r="T32" s="118" t="s">
        <v>175</v>
      </c>
      <c r="V32" s="118" t="s">
        <v>175</v>
      </c>
      <c r="AI32" s="102"/>
      <c r="AJ32" s="102"/>
      <c r="AK32" s="102"/>
      <c r="AL32" s="102"/>
      <c r="AM32" s="102"/>
      <c r="AN32" s="102"/>
      <c r="AO32" s="102"/>
      <c r="AP32" s="102"/>
      <c r="AQ32" s="102"/>
      <c r="AR32" s="102"/>
      <c r="AS32" s="102"/>
      <c r="AT32" s="102"/>
      <c r="AU32" s="102"/>
      <c r="AV32" s="102"/>
      <c r="AY32" s="208"/>
      <c r="AZ32" s="208"/>
      <c r="BA32" s="209"/>
      <c r="BB32" s="209"/>
      <c r="BC32" s="209"/>
      <c r="BD32" s="209"/>
    </row>
    <row r="33" spans="12:56" ht="26.25" hidden="1" customHeight="1">
      <c r="M33" s="11"/>
      <c r="N33" s="11"/>
      <c r="O33" s="24"/>
      <c r="P33" s="11"/>
      <c r="T33" s="118" t="s">
        <v>175</v>
      </c>
      <c r="AI33" s="102"/>
      <c r="AJ33" s="102"/>
      <c r="AK33" s="102"/>
      <c r="AL33" s="102"/>
      <c r="AM33" s="102"/>
      <c r="AN33" s="102"/>
      <c r="AO33" s="102"/>
      <c r="AP33" s="102"/>
      <c r="AQ33" s="102"/>
      <c r="AR33" s="102"/>
      <c r="AS33" s="102"/>
      <c r="AT33" s="102"/>
      <c r="AU33" s="102"/>
      <c r="AV33" s="102"/>
      <c r="AY33" s="208"/>
      <c r="AZ33" s="208"/>
      <c r="BA33" s="209"/>
      <c r="BB33" s="209"/>
      <c r="BC33" s="209"/>
      <c r="BD33" s="209"/>
    </row>
    <row r="34" spans="12:56" hidden="1">
      <c r="M34" s="11"/>
      <c r="N34" s="11"/>
      <c r="O34" s="24"/>
      <c r="P34" s="11"/>
      <c r="AI34" s="102"/>
      <c r="AJ34" s="102"/>
      <c r="AK34" s="102"/>
      <c r="AL34" s="102"/>
      <c r="AM34" s="102"/>
      <c r="AN34" s="102"/>
      <c r="AO34" s="102"/>
      <c r="AP34" s="102"/>
      <c r="AQ34" s="102"/>
      <c r="AR34" s="102"/>
      <c r="AS34" s="102"/>
      <c r="AT34" s="102"/>
      <c r="AU34" s="102"/>
      <c r="AV34" s="102"/>
      <c r="AY34" s="208"/>
      <c r="AZ34" s="208"/>
      <c r="BA34" s="209"/>
      <c r="BB34" s="209"/>
      <c r="BC34" s="209"/>
      <c r="BD34" s="209"/>
    </row>
    <row r="35" spans="12:56" ht="13.5" hidden="1" thickBot="1">
      <c r="M35" s="481" t="s">
        <v>281</v>
      </c>
      <c r="N35" s="482"/>
      <c r="O35" s="24"/>
      <c r="P35" s="11"/>
      <c r="AI35" s="102"/>
      <c r="AJ35" s="102"/>
      <c r="AK35" s="102"/>
      <c r="AL35" s="102"/>
      <c r="AM35" s="102"/>
      <c r="AN35" s="102"/>
      <c r="AO35" s="102"/>
      <c r="AP35" s="102"/>
      <c r="AQ35" s="102"/>
      <c r="AR35" s="102"/>
      <c r="AS35" s="102"/>
      <c r="AT35" s="102"/>
      <c r="AU35" s="102"/>
      <c r="AV35" s="102"/>
      <c r="AY35" s="208"/>
      <c r="AZ35" s="208"/>
      <c r="BA35" s="209"/>
      <c r="BB35" s="209"/>
      <c r="BC35" s="209"/>
      <c r="BD35" s="209"/>
    </row>
    <row r="36" spans="12:56" ht="40.5" hidden="1" customHeight="1">
      <c r="L36" s="169" t="s">
        <v>175</v>
      </c>
      <c r="AY36" s="208"/>
      <c r="AZ36" s="208"/>
      <c r="BA36" s="209"/>
      <c r="BB36" s="209"/>
      <c r="BC36" s="209"/>
      <c r="BD36" s="209"/>
    </row>
    <row r="37" spans="12:56" ht="24.75" hidden="1" customHeight="1">
      <c r="AY37" s="208"/>
      <c r="AZ37" s="208"/>
      <c r="BA37" s="209"/>
      <c r="BB37" s="209"/>
      <c r="BC37" s="209"/>
      <c r="BD37" s="209"/>
    </row>
    <row r="38" spans="12:56" ht="24.75" hidden="1" customHeight="1"/>
    <row r="39" spans="12:56" ht="24.75" hidden="1" customHeight="1">
      <c r="M39" s="118" t="s">
        <v>48</v>
      </c>
      <c r="N39" s="118" t="e">
        <f>N10/2/(N23+N21)</f>
        <v>#REF!</v>
      </c>
    </row>
    <row r="40" spans="12:56" ht="24.75" hidden="1" customHeight="1">
      <c r="M40" s="118" t="s">
        <v>49</v>
      </c>
      <c r="N40" s="118" t="e">
        <f>N39/(1-N20)</f>
        <v>#REF!</v>
      </c>
    </row>
    <row r="41" spans="12:56" ht="24.75" hidden="1" customHeight="1"/>
    <row r="42" spans="12:56" ht="24.75" customHeight="1"/>
    <row r="43" spans="12:56" ht="24.75" customHeight="1"/>
    <row r="44" spans="12:56" ht="24.75" customHeight="1"/>
    <row r="45" spans="12:56" ht="24.75" customHeight="1"/>
    <row r="46" spans="12:56" ht="24.75" customHeight="1"/>
    <row r="47" spans="12:56" ht="24.75" customHeight="1"/>
    <row r="48" spans="12:56" ht="24.75" customHeight="1"/>
    <row r="49" ht="24.75" customHeight="1"/>
    <row r="50" ht="24.75" customHeight="1"/>
    <row r="51" ht="24.75" customHeight="1"/>
    <row r="52" ht="17.25" customHeight="1"/>
    <row r="53" ht="17.25" customHeight="1"/>
  </sheetData>
  <mergeCells count="19">
    <mergeCell ref="I15:J15"/>
    <mergeCell ref="M30:N30"/>
    <mergeCell ref="M4:P4"/>
    <mergeCell ref="M5:P5"/>
    <mergeCell ref="R4:AG4"/>
    <mergeCell ref="M29:N29"/>
    <mergeCell ref="J8:K10"/>
    <mergeCell ref="M35:N35"/>
    <mergeCell ref="R5:Y5"/>
    <mergeCell ref="Z5:AG5"/>
    <mergeCell ref="P12:P13"/>
    <mergeCell ref="P14:P15"/>
    <mergeCell ref="R23:AG23"/>
    <mergeCell ref="R24:AG24"/>
    <mergeCell ref="C8:D8"/>
    <mergeCell ref="C2:D2"/>
    <mergeCell ref="I13:J14"/>
    <mergeCell ref="C3:D3"/>
    <mergeCell ref="C7:D7"/>
  </mergeCells>
  <phoneticPr fontId="0" type="noConversion"/>
  <printOptions horizontalCentered="1"/>
  <pageMargins left="0.25" right="0.25" top="0.25" bottom="0.25" header="0.5" footer="0.5"/>
  <pageSetup scale="7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30" r:id="rId4" name="Drop Down 10">
              <controlPr defaultSize="0" autoFill="0" autoLine="0" autoPict="0">
                <anchor moveWithCells="1">
                  <from>
                    <xdr:col>21</xdr:col>
                    <xdr:colOff>0</xdr:colOff>
                    <xdr:row>14</xdr:row>
                    <xdr:rowOff>0</xdr:rowOff>
                  </from>
                  <to>
                    <xdr:col>22</xdr:col>
                    <xdr:colOff>0</xdr:colOff>
                    <xdr:row>14</xdr:row>
                    <xdr:rowOff>371475</xdr:rowOff>
                  </to>
                </anchor>
              </controlPr>
            </control>
          </mc:Choice>
        </mc:AlternateContent>
        <mc:AlternateContent xmlns:mc="http://schemas.openxmlformats.org/markup-compatibility/2006">
          <mc:Choice Requires="x14">
            <control shapeId="5131" r:id="rId5" name="Drop Down 11">
              <controlPr defaultSize="0" autoFill="0" autoLine="0" autoPict="0">
                <anchor moveWithCells="1">
                  <from>
                    <xdr:col>23</xdr:col>
                    <xdr:colOff>0</xdr:colOff>
                    <xdr:row>14</xdr:row>
                    <xdr:rowOff>0</xdr:rowOff>
                  </from>
                  <to>
                    <xdr:col>24</xdr:col>
                    <xdr:colOff>0</xdr:colOff>
                    <xdr:row>14</xdr:row>
                    <xdr:rowOff>371475</xdr:rowOff>
                  </to>
                </anchor>
              </controlPr>
            </control>
          </mc:Choice>
        </mc:AlternateContent>
        <mc:AlternateContent xmlns:mc="http://schemas.openxmlformats.org/markup-compatibility/2006">
          <mc:Choice Requires="x14">
            <control shapeId="5132" r:id="rId6" name="Drop Down 12">
              <controlPr defaultSize="0" autoFill="0" autoLine="0" autoPict="0">
                <anchor moveWithCells="1">
                  <from>
                    <xdr:col>31</xdr:col>
                    <xdr:colOff>0</xdr:colOff>
                    <xdr:row>14</xdr:row>
                    <xdr:rowOff>0</xdr:rowOff>
                  </from>
                  <to>
                    <xdr:col>32</xdr:col>
                    <xdr:colOff>0</xdr:colOff>
                    <xdr:row>14</xdr:row>
                    <xdr:rowOff>371475</xdr:rowOff>
                  </to>
                </anchor>
              </controlPr>
            </control>
          </mc:Choice>
        </mc:AlternateContent>
        <mc:AlternateContent xmlns:mc="http://schemas.openxmlformats.org/markup-compatibility/2006">
          <mc:Choice Requires="x14">
            <control shapeId="5133" r:id="rId7" name="Drop Down 13">
              <controlPr defaultSize="0" autoFill="0" autoLine="0" autoPict="0">
                <anchor moveWithCells="1">
                  <from>
                    <xdr:col>29</xdr:col>
                    <xdr:colOff>0</xdr:colOff>
                    <xdr:row>14</xdr:row>
                    <xdr:rowOff>0</xdr:rowOff>
                  </from>
                  <to>
                    <xdr:col>30</xdr:col>
                    <xdr:colOff>0</xdr:colOff>
                    <xdr:row>14</xdr:row>
                    <xdr:rowOff>371475</xdr:rowOff>
                  </to>
                </anchor>
              </controlPr>
            </control>
          </mc:Choice>
        </mc:AlternateContent>
        <mc:AlternateContent xmlns:mc="http://schemas.openxmlformats.org/markup-compatibility/2006">
          <mc:Choice Requires="x14">
            <control shapeId="5137" r:id="rId8" name="Drop Down 17">
              <controlPr defaultSize="0" autoFill="0" autoLine="0" autoPict="0">
                <anchor moveWithCells="1">
                  <from>
                    <xdr:col>8</xdr:col>
                    <xdr:colOff>9525</xdr:colOff>
                    <xdr:row>14</xdr:row>
                    <xdr:rowOff>9525</xdr:rowOff>
                  </from>
                  <to>
                    <xdr:col>10</xdr:col>
                    <xdr:colOff>0</xdr:colOff>
                    <xdr:row>14</xdr:row>
                    <xdr:rowOff>381000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B1:Y37"/>
  <sheetViews>
    <sheetView showGridLines="0" topLeftCell="A4" workbookViewId="0">
      <selection activeCell="E18" sqref="E18"/>
    </sheetView>
  </sheetViews>
  <sheetFormatPr defaultColWidth="9.140625" defaultRowHeight="12.75"/>
  <cols>
    <col min="1" max="1" width="1.28515625" customWidth="1"/>
    <col min="2" max="2" width="46" customWidth="1"/>
    <col min="3" max="3" width="15" customWidth="1"/>
    <col min="4" max="5" width="7" customWidth="1"/>
    <col min="6" max="6" width="7.7109375" customWidth="1"/>
    <col min="7" max="7" width="5.7109375" style="27" customWidth="1"/>
    <col min="8" max="8" width="2.7109375" customWidth="1"/>
    <col min="9" max="9" width="16.7109375" customWidth="1"/>
    <col min="10" max="12" width="7.42578125" customWidth="1"/>
    <col min="13" max="13" width="5.7109375" style="27" customWidth="1"/>
    <col min="14" max="14" width="3.140625" customWidth="1"/>
    <col min="15" max="15" width="16.7109375" customWidth="1"/>
    <col min="16" max="16" width="7.42578125" customWidth="1"/>
    <col min="17" max="18" width="7.85546875" customWidth="1"/>
    <col min="19" max="19" width="5.7109375" style="27" customWidth="1"/>
  </cols>
  <sheetData>
    <row r="1" spans="2:25" ht="9" customHeight="1">
      <c r="B1" s="22"/>
    </row>
    <row r="5" spans="2:25" ht="24.75" customHeight="1">
      <c r="B5" s="108" t="str">
        <f>CONCATENATE("System Derating for ",E34," DDR4 SDRAM (x",E35,", ",E36," Speed Grade)", ","," ", IF( 'DDR4 Config'!D$10= 1, "DBI not enabled", IF('DDR4 Config'!D$10=2, "DBI enabled", "DBI selection is wrong")))</f>
        <v>System Derating for 16Gb DDR4 SDRAM (x4, -083 Speed Grade), DBI enabled</v>
      </c>
      <c r="C5" s="108"/>
      <c r="D5" s="108"/>
      <c r="E5" s="108"/>
      <c r="F5" s="108"/>
      <c r="G5" s="108"/>
      <c r="H5" s="108"/>
      <c r="I5" s="108"/>
      <c r="J5" s="108"/>
      <c r="K5" s="108"/>
      <c r="L5" s="108"/>
      <c r="M5" s="108"/>
      <c r="N5" s="108"/>
      <c r="O5" s="108"/>
      <c r="P5" s="108"/>
      <c r="Q5" s="108"/>
      <c r="R5" s="108"/>
      <c r="S5" s="108"/>
    </row>
    <row r="6" spans="2:25">
      <c r="B6" s="16"/>
      <c r="C6" s="16"/>
      <c r="D6" s="16"/>
      <c r="E6" s="16"/>
      <c r="F6" s="16"/>
      <c r="G6" s="99"/>
      <c r="H6" s="16"/>
      <c r="I6" s="206" t="s">
        <v>175</v>
      </c>
      <c r="J6" s="206"/>
      <c r="K6" s="206"/>
      <c r="L6" s="16"/>
      <c r="M6" s="99"/>
      <c r="N6" s="16"/>
      <c r="O6" s="16"/>
      <c r="P6" s="16"/>
      <c r="Q6" s="16"/>
      <c r="R6" s="16"/>
      <c r="S6" s="99"/>
    </row>
    <row r="7" spans="2:25" ht="27.75" customHeight="1">
      <c r="B7" s="107" t="s">
        <v>350</v>
      </c>
      <c r="C7" s="107"/>
      <c r="D7" s="107"/>
      <c r="E7" s="107"/>
      <c r="F7" s="107"/>
      <c r="G7" s="107"/>
      <c r="H7" s="107"/>
      <c r="I7" s="107"/>
      <c r="J7" s="107"/>
      <c r="K7" s="107"/>
      <c r="L7" s="107"/>
      <c r="M7" s="107"/>
      <c r="N7" s="107"/>
      <c r="O7" s="107"/>
      <c r="P7" s="107"/>
      <c r="Q7" s="107"/>
      <c r="R7" s="107"/>
      <c r="S7" s="107"/>
    </row>
    <row r="8" spans="2:25">
      <c r="C8" s="205" t="s">
        <v>175</v>
      </c>
    </row>
    <row r="9" spans="2:25" ht="13.5" thickBot="1"/>
    <row r="10" spans="2:25" s="4" customFormat="1" ht="54.95" customHeight="1">
      <c r="B10" s="96"/>
      <c r="C10" s="112" t="s">
        <v>274</v>
      </c>
      <c r="D10" s="113"/>
      <c r="E10" s="113"/>
      <c r="F10" s="236"/>
      <c r="G10" s="114"/>
      <c r="H10" s="96"/>
      <c r="I10" s="112" t="s">
        <v>129</v>
      </c>
      <c r="J10" s="230"/>
      <c r="K10" s="230"/>
      <c r="L10" s="113"/>
      <c r="M10" s="114"/>
      <c r="O10" s="112" t="s">
        <v>153</v>
      </c>
      <c r="P10" s="230"/>
      <c r="Q10" s="230"/>
      <c r="R10" s="113"/>
      <c r="S10" s="114"/>
      <c r="U10"/>
      <c r="V10"/>
      <c r="W10"/>
      <c r="X10"/>
      <c r="Y10"/>
    </row>
    <row r="11" spans="2:25" s="4" customFormat="1" ht="21" customHeight="1" thickBot="1">
      <c r="B11" s="96"/>
      <c r="C11" s="420" t="s">
        <v>41</v>
      </c>
      <c r="D11" s="421" t="s">
        <v>300</v>
      </c>
      <c r="E11" s="421" t="s">
        <v>301</v>
      </c>
      <c r="F11" s="422" t="s">
        <v>302</v>
      </c>
      <c r="G11" s="423"/>
      <c r="H11"/>
      <c r="I11" s="234" t="s">
        <v>41</v>
      </c>
      <c r="J11" s="235" t="s">
        <v>300</v>
      </c>
      <c r="K11" s="235" t="s">
        <v>301</v>
      </c>
      <c r="L11" s="237" t="s">
        <v>302</v>
      </c>
      <c r="M11" s="233"/>
      <c r="O11" s="234" t="s">
        <v>41</v>
      </c>
      <c r="P11" s="235" t="s">
        <v>300</v>
      </c>
      <c r="Q11" s="235" t="s">
        <v>301</v>
      </c>
      <c r="R11" s="237" t="s">
        <v>302</v>
      </c>
      <c r="S11" s="233"/>
      <c r="U11"/>
      <c r="V11"/>
      <c r="W11"/>
      <c r="X11"/>
      <c r="Y11"/>
    </row>
    <row r="12" spans="2:25" ht="25.5" customHeight="1">
      <c r="B12" s="412" t="s">
        <v>63</v>
      </c>
      <c r="C12" s="416" t="s">
        <v>50</v>
      </c>
      <c r="D12" s="417">
        <f>+'DDR4 Config'!D25*'DDR4 Config'!D$15</f>
        <v>96.800000000000011</v>
      </c>
      <c r="E12" s="417">
        <f xml:space="preserve"> +'DDR4 Config'!D30*'DDR4 Config'!D$17</f>
        <v>12.6</v>
      </c>
      <c r="F12" s="418">
        <f>D12+E12</f>
        <v>109.4</v>
      </c>
      <c r="G12" s="419" t="s">
        <v>8</v>
      </c>
      <c r="I12" s="47" t="s">
        <v>94</v>
      </c>
      <c r="J12" s="239">
        <f>D12*'System Config'!N17*'System Config'!N18</f>
        <v>0</v>
      </c>
      <c r="K12" s="239">
        <f>E12*'System Config'!N17*'System Config'!N18</f>
        <v>0</v>
      </c>
      <c r="L12" s="239">
        <f>F12*'System Config'!N17*'System Config'!N18</f>
        <v>0</v>
      </c>
      <c r="M12" s="100" t="s">
        <v>8</v>
      </c>
      <c r="N12" s="53"/>
      <c r="O12" s="47" t="s">
        <v>82</v>
      </c>
      <c r="P12" s="431">
        <f xml:space="preserve">      J12         * 'System Config'!N7 /'DDR4 Config'!D15</f>
        <v>0</v>
      </c>
      <c r="Q12" s="431">
        <f xml:space="preserve">      K12   * 'System Config'!N8 /'DDR4 Config'!D17</f>
        <v>0</v>
      </c>
      <c r="R12" s="430">
        <f t="shared" ref="R12:R23" si="0">P12+Q12</f>
        <v>0</v>
      </c>
      <c r="S12" s="100" t="s">
        <v>8</v>
      </c>
      <c r="T12" s="16"/>
    </row>
    <row r="13" spans="2:25" ht="25.5" customHeight="1">
      <c r="B13" s="413" t="s">
        <v>64</v>
      </c>
      <c r="C13" s="243" t="s">
        <v>51</v>
      </c>
      <c r="D13" s="231">
        <f>+'DDR4 Config'!D26*'DDR4 Config'!D$15</f>
        <v>101.2</v>
      </c>
      <c r="E13" s="231">
        <f>+'DDR4 Config'!D30*'DDR4 Config'!D$17</f>
        <v>12.6</v>
      </c>
      <c r="F13" s="238">
        <f t="shared" ref="F13:F23" si="1">D13+E13</f>
        <v>113.8</v>
      </c>
      <c r="G13" s="125" t="s">
        <v>8</v>
      </c>
      <c r="I13" s="47" t="s">
        <v>95</v>
      </c>
      <c r="J13" s="240">
        <f>D13*'System Config'!N17*(1-'System Config'!N18)</f>
        <v>0</v>
      </c>
      <c r="K13" s="240">
        <f>E13*'System Config'!N17*(1-'System Config'!N18)</f>
        <v>0</v>
      </c>
      <c r="L13" s="239">
        <f>F13*'System Config'!N17*(1-'System Config'!N18)</f>
        <v>0</v>
      </c>
      <c r="M13" s="100" t="s">
        <v>8</v>
      </c>
      <c r="N13" s="53"/>
      <c r="O13" s="47" t="s">
        <v>83</v>
      </c>
      <c r="P13" s="431">
        <f xml:space="preserve">  J13         * 'System Config'!N7 /'DDR4 Config'!D15    *   'System Config'!N$9/1000*'DDR4 Config'!D$40</f>
        <v>0</v>
      </c>
      <c r="Q13" s="431">
        <f>K13  * 'System Config'!N8 /'DDR4 Config'!D17    *   'System Config'!N$9/1000*'DDR4 Config'!D$40</f>
        <v>0</v>
      </c>
      <c r="R13" s="430">
        <f t="shared" si="0"/>
        <v>0</v>
      </c>
      <c r="S13" s="100" t="s">
        <v>8</v>
      </c>
      <c r="T13" s="16"/>
    </row>
    <row r="14" spans="2:25" ht="25.5" customHeight="1">
      <c r="B14" s="413" t="s">
        <v>3</v>
      </c>
      <c r="C14" s="243" t="s">
        <v>52</v>
      </c>
      <c r="D14" s="231">
        <f>+'DDR4 Config'!D27*'DDR4 Config'!D$15</f>
        <v>154</v>
      </c>
      <c r="E14" s="231">
        <f xml:space="preserve"> +'DDR4 Config'!D30*'DDR4 Config'!D$17</f>
        <v>12.6</v>
      </c>
      <c r="F14" s="238">
        <f t="shared" si="1"/>
        <v>166.6</v>
      </c>
      <c r="G14" s="125" t="s">
        <v>8</v>
      </c>
      <c r="I14" s="47" t="s">
        <v>96</v>
      </c>
      <c r="J14" s="240">
        <f>D14*(1-'System Config'!N17)*'System Config'!N19</f>
        <v>0</v>
      </c>
      <c r="K14" s="240">
        <f>E14*(1-'System Config'!N17)*'System Config'!N19</f>
        <v>0</v>
      </c>
      <c r="L14" s="239">
        <f>F14*(1-'System Config'!N17)*'System Config'!N19</f>
        <v>0</v>
      </c>
      <c r="M14" s="100" t="s">
        <v>8</v>
      </c>
      <c r="N14" s="53"/>
      <c r="O14" s="47" t="s">
        <v>84</v>
      </c>
      <c r="P14" s="431">
        <f>J14*'System Config'!N7/'DDR4 Config'!D15*'System Config'!N$9/1000*'DDR4 Config'!D$40</f>
        <v>0</v>
      </c>
      <c r="Q14" s="431">
        <f xml:space="preserve"> K14  * 'System Config'!N8 /'DDR4 Config'!D17   *'System Config'!N$9/1000*'DDR4 Config'!D$40</f>
        <v>0</v>
      </c>
      <c r="R14" s="430">
        <f t="shared" si="0"/>
        <v>0</v>
      </c>
      <c r="S14" s="100" t="s">
        <v>8</v>
      </c>
      <c r="T14" s="16"/>
    </row>
    <row r="15" spans="2:25" ht="25.5" customHeight="1">
      <c r="B15" s="413" t="s">
        <v>65</v>
      </c>
      <c r="C15" s="243" t="s">
        <v>53</v>
      </c>
      <c r="D15" s="231">
        <f>+'DDR4 Config'!D28*'DDR4 Config'!D$15</f>
        <v>156.20000000000002</v>
      </c>
      <c r="E15" s="231">
        <f xml:space="preserve">  +'DDR4 Config'!D30*'DDR4 Config'!D$17</f>
        <v>12.6</v>
      </c>
      <c r="F15" s="238">
        <f t="shared" si="1"/>
        <v>168.8</v>
      </c>
      <c r="G15" s="125" t="s">
        <v>8</v>
      </c>
      <c r="I15" s="47" t="s">
        <v>97</v>
      </c>
      <c r="J15" s="240">
        <f>D15*(1-'System Config'!N17)*(1-'System Config'!N19)</f>
        <v>156.20000000000002</v>
      </c>
      <c r="K15" s="240">
        <f>E15*(1-'System Config'!N17)*(1-'System Config'!N19)</f>
        <v>12.6</v>
      </c>
      <c r="L15" s="239">
        <f>F15*(1-'System Config'!N17)*(1-'System Config'!N19)</f>
        <v>168.8</v>
      </c>
      <c r="M15" s="100" t="s">
        <v>8</v>
      </c>
      <c r="N15" s="53"/>
      <c r="O15" s="47" t="s">
        <v>85</v>
      </c>
      <c r="P15" s="431">
        <f>J15*'System Config'!N7/'DDR4 Config'!D15*'System Config'!N$9/1000*'DDR4 Config'!D$40</f>
        <v>85.029531812725097</v>
      </c>
      <c r="Q15" s="431">
        <f xml:space="preserve"> K15  * 'System Config'!N8 /'DDR4 Config'!D17 *'System Config'!N$9/1000*'DDR4 Config'!D$40</f>
        <v>8.7324929971988787</v>
      </c>
      <c r="R15" s="430">
        <f t="shared" si="0"/>
        <v>93.762024809923972</v>
      </c>
      <c r="S15" s="100" t="s">
        <v>8</v>
      </c>
      <c r="T15" s="16"/>
    </row>
    <row r="16" spans="2:25" ht="25.5" customHeight="1">
      <c r="B16" s="414" t="s">
        <v>349</v>
      </c>
      <c r="C16" s="243" t="s">
        <v>54</v>
      </c>
      <c r="D16" s="231">
        <f>('DDR4 Config'!D37-'DDR4 Config'!D28)*'DDR4 Config'!D15</f>
        <v>148.5</v>
      </c>
      <c r="E16" s="231">
        <f xml:space="preserve"> + ( ('DDR4 Config'!D37 -'DDR4 Config'!D30)*'DDR4 Config'!D45/'DDR4 Config'!D46/1000)*'DDR4 Config'!D17</f>
        <v>6.6418700882117063</v>
      </c>
      <c r="F16" s="238">
        <f t="shared" si="1"/>
        <v>155.1418700882117</v>
      </c>
      <c r="G16" s="125" t="s">
        <v>8</v>
      </c>
      <c r="I16" s="47" t="s">
        <v>98</v>
      </c>
      <c r="J16" s="239">
        <f>D16*'DDR4 Config'!D45/('DDR4 Config'!D46*1000)</f>
        <v>2.0294603047313551</v>
      </c>
      <c r="K16" s="239">
        <f>E16*'DDR4 Config'!D45/('DDR4 Config'!D46*1000)</f>
        <v>9.0770449112513141E-2</v>
      </c>
      <c r="L16" s="239">
        <f>F16</f>
        <v>155.1418700882117</v>
      </c>
      <c r="M16" s="100" t="s">
        <v>8</v>
      </c>
      <c r="N16" s="53"/>
      <c r="O16" s="47" t="s">
        <v>86</v>
      </c>
      <c r="P16" s="431">
        <f>J16*'System Config'!N7/'DDR4 Config'!D15</f>
        <v>2.2139566960705688</v>
      </c>
      <c r="Q16" s="431">
        <f xml:space="preserve"> K16  * 'System Config'!N8 /'DDR4 Config'!D17</f>
        <v>0.12607006821182382</v>
      </c>
      <c r="R16" s="430">
        <f t="shared" si="0"/>
        <v>2.3400267642823924</v>
      </c>
      <c r="S16" s="100" t="s">
        <v>8</v>
      </c>
      <c r="T16" s="16"/>
    </row>
    <row r="17" spans="2:25" ht="25.5" customHeight="1">
      <c r="B17" s="413" t="s">
        <v>14</v>
      </c>
      <c r="C17" s="243" t="s">
        <v>55</v>
      </c>
      <c r="D17" s="231">
        <f>('DDR4 Config'!D23-('DDR4 Config'!D29*'DDR4 Config'!D44/'DDR4 Config'!D43+'DDR4 Config'!D26*('DDR4 Config'!D43-'DDR4 Config'!D44)/'DDR4 Config'!D43))*'DDR4 Config'!D$15</f>
        <v>10.157416971757323</v>
      </c>
      <c r="E17" s="287">
        <f>IF('DDR4 Config'!D24&gt; 'DDR4 Config'!D30,          ('DDR4 Config'!D24-('DDR4 Config'!D30*'DDR4 Config'!D44/'DDR4 Config'!D43+'DDR4 Config'!D30*('DDR4 Config'!D43-'DDR4 Config'!D44)/'DDR4 Config'!D43))*'DDR4 Config'!D$15,    ('DDR4 Config'!D24-('DDR4 Config'!D30  *(0.8)  *'DDR4 Config'!D44/'DDR4 Config'!D43+'DDR4 Config'!D30  *(0.8)  *('DDR4 Config'!D43-'DDR4 Config'!D44)/'DDR4 Config'!D43))*'DDR4 Config'!D$15)</f>
        <v>1.1000000000000001</v>
      </c>
      <c r="F17" s="238">
        <f t="shared" si="1"/>
        <v>11.257416971757323</v>
      </c>
      <c r="G17" s="125" t="s">
        <v>8</v>
      </c>
      <c r="I17" s="47" t="s">
        <v>99</v>
      </c>
      <c r="J17" s="240" t="e">
        <f>+D17*('System Config'!N27/'System Config'!N28)*('DDR4 Config'!D43/'System Config'!N27)</f>
        <v>#REF!</v>
      </c>
      <c r="K17" s="240" t="e">
        <f>+E17*'DDR4 Config'!D43/'System Config'!N28</f>
        <v>#REF!</v>
      </c>
      <c r="L17" s="239" t="e">
        <f>+F17*'DDR4 Config'!D43/'System Config'!N28</f>
        <v>#REF!</v>
      </c>
      <c r="M17" s="100" t="s">
        <v>8</v>
      </c>
      <c r="N17" s="53"/>
      <c r="O17" s="47" t="s">
        <v>87</v>
      </c>
      <c r="P17" s="431" t="e">
        <f>J17*'System Config'!N7/'DDR4 Config'!D15</f>
        <v>#REF!</v>
      </c>
      <c r="Q17" s="431" t="e">
        <f xml:space="preserve"> K17  * 'System Config'!N8 /'DDR4 Config'!D17</f>
        <v>#REF!</v>
      </c>
      <c r="R17" s="430" t="e">
        <f t="shared" si="0"/>
        <v>#REF!</v>
      </c>
      <c r="S17" s="100" t="s">
        <v>8</v>
      </c>
      <c r="T17" s="16"/>
    </row>
    <row r="18" spans="2:25" ht="25.5" customHeight="1">
      <c r="B18" s="413" t="s">
        <v>13</v>
      </c>
      <c r="C18" s="243" t="s">
        <v>56</v>
      </c>
      <c r="D18" s="231">
        <f xml:space="preserve">    ('DDR4 Config'!D33-'DDR4 Config'!D$28)*'DDR4 Config'!D$15*'System Config'!N10/8</f>
        <v>223.3</v>
      </c>
      <c r="E18" s="231">
        <f xml:space="preserve">     IF(  ('DDR4 Config'!D32-'DDR4 Config'!D$30)&gt;0,  'DDR4 Config'!D32-'DDR4 Config'!D$30, 0) *'DDR4 Config'!D$17*'System Config'!N10/8</f>
        <v>3.6</v>
      </c>
      <c r="F18" s="238">
        <f t="shared" si="1"/>
        <v>226.9</v>
      </c>
      <c r="G18" s="125" t="s">
        <v>8</v>
      </c>
      <c r="I18" s="47" t="s">
        <v>100</v>
      </c>
      <c r="J18" s="240">
        <f>+D18*'System Config'!N23</f>
        <v>66.989999999999995</v>
      </c>
      <c r="K18" s="240">
        <f>+E18*'System Config'!N23</f>
        <v>1.08</v>
      </c>
      <c r="L18" s="239">
        <f>+F18*'System Config'!N23</f>
        <v>68.069999999999993</v>
      </c>
      <c r="M18" s="100" t="s">
        <v>8</v>
      </c>
      <c r="N18" s="53"/>
      <c r="O18" s="47" t="s">
        <v>88</v>
      </c>
      <c r="P18" s="431">
        <f>J18*'System Config'!N7/'DDR4 Config'!D15 *'System Config'!N$9/1000*'DDR4 Config'!D$40</f>
        <v>36.466890756302512</v>
      </c>
      <c r="Q18" s="431">
        <f>K18*'System Config'!N7/'DDR4 Config'!D15 *'System Config'!N$9/1000*'DDR4 Config'!D$40</f>
        <v>0.5879122558114156</v>
      </c>
      <c r="R18" s="430">
        <f t="shared" si="0"/>
        <v>37.054803012113929</v>
      </c>
      <c r="S18" s="100" t="s">
        <v>8</v>
      </c>
      <c r="T18" s="16"/>
    </row>
    <row r="19" spans="2:25" ht="25.5" customHeight="1">
      <c r="B19" s="413" t="s">
        <v>47</v>
      </c>
      <c r="C19" s="243" t="s">
        <v>57</v>
      </c>
      <c r="D19" s="231">
        <f>+('DDR4 Config'!D31-'DDR4 Config'!D$28)*'DDR4 Config'!D$15*'System Config'!N10/8</f>
        <v>193.60000000000002</v>
      </c>
      <c r="E19" s="231">
        <f xml:space="preserve">     IF(  ('DDR4 Config'!D34-'DDR4 Config'!D$30)&gt;0,  'DDR4 Config'!D34-'DDR4 Config'!D$30, 0) *'DDR4 Config'!D$17*'System Config'!N10/8</f>
        <v>52.2</v>
      </c>
      <c r="F19" s="238">
        <f t="shared" si="1"/>
        <v>245.8</v>
      </c>
      <c r="G19" s="125" t="s">
        <v>8</v>
      </c>
      <c r="I19" s="47" t="s">
        <v>101</v>
      </c>
      <c r="J19" s="240" t="e">
        <f>+D19*'System Config'!N21</f>
        <v>#REF!</v>
      </c>
      <c r="K19" s="240" t="e">
        <f>+E19*'System Config'!N21</f>
        <v>#REF!</v>
      </c>
      <c r="L19" s="239" t="e">
        <f>+F19*'System Config'!N21</f>
        <v>#REF!</v>
      </c>
      <c r="M19" s="100" t="s">
        <v>8</v>
      </c>
      <c r="N19" s="53"/>
      <c r="O19" s="47" t="s">
        <v>89</v>
      </c>
      <c r="P19" s="431" t="e">
        <f>J19*'System Config'!N7/'DDR4 Config'!D15 *'System Config'!N$9/1000*'DDR4 Config'!D$40</f>
        <v>#REF!</v>
      </c>
      <c r="Q19" s="431" t="e">
        <f>K19*'System Config'!N7/'DDR4 Config'!D15 *'System Config'!N$9/1000*'DDR4 Config'!D$40</f>
        <v>#REF!</v>
      </c>
      <c r="R19" s="430" t="e">
        <f t="shared" si="0"/>
        <v>#REF!</v>
      </c>
      <c r="S19" s="100" t="s">
        <v>8</v>
      </c>
      <c r="T19" s="16"/>
    </row>
    <row r="20" spans="2:25" ht="25.5" customHeight="1">
      <c r="B20" s="414" t="s">
        <v>407</v>
      </c>
      <c r="C20" s="243" t="s">
        <v>58</v>
      </c>
      <c r="D20" s="231">
        <f>IF('DDR4 Config'!D$10 = 1,'System Config'!N12*('DDR4 Config'!D$8+'DDR4 Config'!D20),  IF('DDR4 Config'!D$10 = 2,'System Config'!N12*(('DDR4 Config'!D$8+1)/2+'DDR4 Config'!D20),    "error"))</f>
        <v>38.509512925155342</v>
      </c>
      <c r="E20" s="283">
        <v>0</v>
      </c>
      <c r="F20" s="238">
        <f t="shared" si="1"/>
        <v>38.509512925155342</v>
      </c>
      <c r="G20" s="125" t="s">
        <v>8</v>
      </c>
      <c r="I20" s="47" t="s">
        <v>102</v>
      </c>
      <c r="J20" s="240" t="e">
        <f>+D20*'System Config'!N21*'System Config'!N22</f>
        <v>#REF!</v>
      </c>
      <c r="K20" s="285" t="e">
        <f>+E20*'System Config'!N21</f>
        <v>#REF!</v>
      </c>
      <c r="L20" s="239" t="e">
        <f>+F20*'System Config'!N21</f>
        <v>#REF!</v>
      </c>
      <c r="M20" s="100" t="s">
        <v>8</v>
      </c>
      <c r="N20" s="53"/>
      <c r="O20" s="47" t="s">
        <v>90</v>
      </c>
      <c r="P20" s="431" t="e">
        <f>J20</f>
        <v>#REF!</v>
      </c>
      <c r="Q20" s="285" t="e">
        <f>K20</f>
        <v>#REF!</v>
      </c>
      <c r="R20" s="430" t="e">
        <f t="shared" si="0"/>
        <v>#REF!</v>
      </c>
      <c r="S20" s="100" t="s">
        <v>8</v>
      </c>
      <c r="T20" s="16"/>
    </row>
    <row r="21" spans="2:25" ht="25.5" customHeight="1">
      <c r="B21" s="413" t="s">
        <v>22</v>
      </c>
      <c r="C21" s="243" t="s">
        <v>59</v>
      </c>
      <c r="D21" s="231">
        <f>IF( 'DDR4 Config'!D$10 =1, ('System Config'!N13*('DDR4 Config'!D$8+'DDR4 Config'!D$20+'DDR4 Config'!D$21)), IF( 'DDR4 Config'!D$10 =2,('System Config'!N13*(('DDR4 Config'!D$8+1)/2+'DDR4 Config'!D$20+'DDR4 Config'!D$21)), "error"))</f>
        <v>24.180744962344797</v>
      </c>
      <c r="E21" s="283">
        <v>0</v>
      </c>
      <c r="F21" s="238">
        <f t="shared" si="1"/>
        <v>24.180744962344797</v>
      </c>
      <c r="G21" s="125" t="s">
        <v>8</v>
      </c>
      <c r="I21" s="47" t="s">
        <v>103</v>
      </c>
      <c r="J21" s="240">
        <f>+D21*'System Config'!N23*'System Config'!N24</f>
        <v>0</v>
      </c>
      <c r="K21" s="285">
        <f>+E21*'System Config'!N23</f>
        <v>0</v>
      </c>
      <c r="L21" s="239">
        <f>+F21*'System Config'!N23</f>
        <v>7.2542234887034382</v>
      </c>
      <c r="M21" s="100" t="s">
        <v>8</v>
      </c>
      <c r="N21" s="53"/>
      <c r="O21" s="47" t="s">
        <v>91</v>
      </c>
      <c r="P21" s="431">
        <f>J21</f>
        <v>0</v>
      </c>
      <c r="Q21" s="285">
        <v>0</v>
      </c>
      <c r="R21" s="430">
        <f t="shared" si="0"/>
        <v>0</v>
      </c>
      <c r="S21" s="100" t="s">
        <v>8</v>
      </c>
      <c r="T21" s="16"/>
    </row>
    <row r="22" spans="2:25" ht="25.5" customHeight="1">
      <c r="B22" s="413" t="s">
        <v>72</v>
      </c>
      <c r="C22" s="243" t="s">
        <v>60</v>
      </c>
      <c r="D22" s="231">
        <f xml:space="preserve">  IF('DDR4 Config'!D$10=1,('DDR4 Config'!D$15/'System Config'!N7)* ('System Config'!N14*('DDR4 Config'!D$8+'DDR4 Config'!D$20)),   IF('DDR4 Config'!D$10=2, ('DDR4 Config'!D$15/'System Config'!N7)*  ('System Config'!N14*('DDR4 Config'!D$8+1+'DDR4 Config'!D$20)), "error"))</f>
        <v>7.679791356867768</v>
      </c>
      <c r="E22" s="283">
        <v>0</v>
      </c>
      <c r="F22" s="238">
        <f t="shared" si="1"/>
        <v>7.679791356867768</v>
      </c>
      <c r="G22" s="125" t="s">
        <v>8</v>
      </c>
      <c r="I22" s="47" t="s">
        <v>104</v>
      </c>
      <c r="J22" s="240">
        <f>+D22*'System Config'!N25*'System Config'!N22</f>
        <v>0</v>
      </c>
      <c r="K22" s="285">
        <f>+E22*'System Config'!N25</f>
        <v>0</v>
      </c>
      <c r="L22" s="239">
        <f>+F22*'System Config'!N25</f>
        <v>0</v>
      </c>
      <c r="M22" s="100" t="s">
        <v>8</v>
      </c>
      <c r="N22" s="53"/>
      <c r="O22" s="47" t="s">
        <v>92</v>
      </c>
      <c r="P22" s="240">
        <f>J22</f>
        <v>0</v>
      </c>
      <c r="Q22" s="285">
        <v>0</v>
      </c>
      <c r="R22" s="239">
        <f t="shared" si="0"/>
        <v>0</v>
      </c>
      <c r="S22" s="100" t="s">
        <v>8</v>
      </c>
      <c r="T22" s="16"/>
    </row>
    <row r="23" spans="2:25" ht="25.5" customHeight="1" thickBot="1">
      <c r="B23" s="415" t="s">
        <v>24</v>
      </c>
      <c r="C23" s="244" t="s">
        <v>61</v>
      </c>
      <c r="D23" s="232">
        <f xml:space="preserve">  IF('DDR4 Config'!D$10=1,('DDR4 Config'!D$15/'System Config'!N7)*('System Config'!N15*('DDR4 Config'!D$8+'DDR4 Config'!D$20+'DDR4 Config'!D$21)),   IF('DDR4 Config'!D$10=2,   ('DDR4 Config'!D$15/'System Config'!N7)*('System Config'!N14*('DDR4 Config'!D$8+1+'DDR4 Config'!D$20+'DDR4 Config'!D$21)), "error"))</f>
        <v>8.7769044078488765</v>
      </c>
      <c r="E23" s="284">
        <v>0</v>
      </c>
      <c r="F23" s="245">
        <f t="shared" si="1"/>
        <v>8.7769044078488765</v>
      </c>
      <c r="G23" s="126" t="s">
        <v>8</v>
      </c>
      <c r="I23" s="58" t="s">
        <v>105</v>
      </c>
      <c r="J23" s="241">
        <f>+D23*'System Config'!N26*'System Config'!N24</f>
        <v>0</v>
      </c>
      <c r="K23" s="286">
        <f>+E23*'System Config'!N26</f>
        <v>0</v>
      </c>
      <c r="L23" s="242">
        <f>+F23*'System Config'!N26</f>
        <v>0</v>
      </c>
      <c r="M23" s="101" t="s">
        <v>8</v>
      </c>
      <c r="N23" s="53"/>
      <c r="O23" s="58" t="s">
        <v>93</v>
      </c>
      <c r="P23" s="241">
        <f>J23</f>
        <v>0</v>
      </c>
      <c r="Q23" s="286">
        <v>0</v>
      </c>
      <c r="R23" s="239">
        <f t="shared" si="0"/>
        <v>0</v>
      </c>
      <c r="S23" s="101" t="s">
        <v>8</v>
      </c>
      <c r="T23" s="16"/>
    </row>
    <row r="24" spans="2:25" ht="13.5" thickBot="1">
      <c r="B24" s="53"/>
      <c r="C24" s="53"/>
      <c r="D24" s="53"/>
      <c r="E24" s="53"/>
      <c r="F24" s="53"/>
      <c r="G24" s="51"/>
      <c r="I24" s="53"/>
      <c r="J24" s="53"/>
      <c r="K24" s="53"/>
      <c r="L24" s="53"/>
      <c r="M24" s="51"/>
      <c r="N24" s="53"/>
      <c r="O24" s="53"/>
      <c r="P24" s="53"/>
      <c r="Q24" s="53"/>
      <c r="R24" s="53"/>
      <c r="S24" s="51"/>
    </row>
    <row r="25" spans="2:25" s="3" customFormat="1" ht="18.95" customHeight="1" thickBot="1">
      <c r="B25" s="40"/>
      <c r="C25" s="40"/>
      <c r="D25" s="97"/>
      <c r="E25" s="97"/>
      <c r="F25" s="97"/>
      <c r="G25" s="102"/>
      <c r="H25"/>
      <c r="I25" s="40"/>
      <c r="J25" s="40"/>
      <c r="K25" s="40"/>
      <c r="L25" s="46"/>
      <c r="M25" s="102"/>
      <c r="N25" s="40"/>
      <c r="O25" s="127" t="s">
        <v>0</v>
      </c>
      <c r="P25" s="127"/>
      <c r="Q25" s="127"/>
      <c r="R25" s="98" t="e">
        <f>SUM(R12:R21)</f>
        <v>#REF!</v>
      </c>
      <c r="S25" s="103" t="s">
        <v>8</v>
      </c>
      <c r="U25"/>
      <c r="V25"/>
      <c r="W25"/>
      <c r="X25"/>
      <c r="Y25"/>
    </row>
    <row r="26" spans="2:25" ht="16.5" thickBot="1">
      <c r="C26" s="53"/>
      <c r="L26" s="46"/>
      <c r="M26" s="102"/>
      <c r="N26" s="40"/>
      <c r="O26" s="127" t="s">
        <v>200</v>
      </c>
      <c r="P26" s="127"/>
      <c r="Q26" s="127"/>
      <c r="R26" s="98">
        <f>SUM(R22:R23)</f>
        <v>0</v>
      </c>
      <c r="S26" s="103" t="s">
        <v>8</v>
      </c>
    </row>
    <row r="28" spans="2:25" ht="29.25" customHeight="1">
      <c r="L28" s="507"/>
      <c r="M28" s="507"/>
      <c r="R28" s="507"/>
      <c r="S28" s="507"/>
    </row>
    <row r="29" spans="2:25" hidden="1"/>
    <row r="30" spans="2:25" hidden="1">
      <c r="B30" t="s">
        <v>7</v>
      </c>
      <c r="D30" t="str">
        <f>'System Config'!M8</f>
        <v>System VPP</v>
      </c>
      <c r="E30">
        <f>'System Config'!N8</f>
        <v>2.5</v>
      </c>
    </row>
    <row r="31" spans="2:25" hidden="1">
      <c r="B31" t="s">
        <v>43</v>
      </c>
      <c r="D31" t="str">
        <f>'System Config'!M9</f>
        <v>System CK frequency (data rate /2)</v>
      </c>
      <c r="E31">
        <f>'System Config'!N9</f>
        <v>1200.4801920768307</v>
      </c>
    </row>
    <row r="32" spans="2:25" hidden="1"/>
    <row r="33" spans="2:5" hidden="1">
      <c r="B33" t="s">
        <v>44</v>
      </c>
    </row>
    <row r="34" spans="2:5" hidden="1">
      <c r="B34" t="s">
        <v>37</v>
      </c>
      <c r="D34" t="str">
        <f>'DDR4 Config'!C7</f>
        <v>DRAM Package Density</v>
      </c>
      <c r="E34" t="str">
        <f>'DDR4 Config'!D7</f>
        <v>16Gb</v>
      </c>
    </row>
    <row r="35" spans="2:5" hidden="1">
      <c r="B35" t="s">
        <v>45</v>
      </c>
      <c r="D35" t="str">
        <f>'DDR4 Config'!C8</f>
        <v>DRAM Width (Number of DQs per )</v>
      </c>
      <c r="E35">
        <f>'DDR4 Config'!D8</f>
        <v>4</v>
      </c>
    </row>
    <row r="36" spans="2:5" hidden="1">
      <c r="B36" t="s">
        <v>38</v>
      </c>
      <c r="D36" t="str">
        <f>'DDR4 Config'!C9</f>
        <v>Speed Grade</v>
      </c>
      <c r="E36" t="str">
        <f>'DDR4 Config'!D9</f>
        <v>-083</v>
      </c>
    </row>
    <row r="37" spans="2:5" hidden="1"/>
  </sheetData>
  <mergeCells count="2">
    <mergeCell ref="L28:M28"/>
    <mergeCell ref="R28:S28"/>
  </mergeCells>
  <phoneticPr fontId="0" type="noConversion"/>
  <printOptions horizontalCentered="1"/>
  <pageMargins left="0.25" right="0.25" top="0.25" bottom="0.25" header="0.5" footer="0.5"/>
  <pageSetup scale="74"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S63"/>
  <sheetViews>
    <sheetView showGridLines="0" topLeftCell="A7" zoomScale="70" zoomScaleNormal="70" workbookViewId="0">
      <selection activeCell="Z29" sqref="Z29"/>
    </sheetView>
  </sheetViews>
  <sheetFormatPr defaultColWidth="8.85546875" defaultRowHeight="12.75"/>
  <cols>
    <col min="1" max="1" width="3" customWidth="1"/>
    <col min="2" max="2" width="4.85546875" customWidth="1"/>
    <col min="3" max="3" width="32" customWidth="1"/>
    <col min="14" max="15" width="9.28515625" customWidth="1"/>
    <col min="16" max="16" width="11.28515625" customWidth="1"/>
    <col min="17" max="17" width="8.85546875" customWidth="1"/>
  </cols>
  <sheetData>
    <row r="1" spans="1:15">
      <c r="A1" s="22"/>
    </row>
    <row r="5" spans="1:15" ht="23.25">
      <c r="A5" s="106" t="str">
        <f>CONCATENATE('DDR4 Config'!D7," DDR4 SDRAM with ",'DDR4 Config'!D8," DQs and a ",'DDR4 Config'!D9," Speed Grade", ","," ", IF( 'DDR4 Config'!D$10= 1, "DBI not enabled", IF('DDR4 Config'!D$10=2, "DBI enabled", "DBI selection is wrong")))</f>
        <v>16Gb DDR4 SDRAM with 4 DQs and a -083 Speed Grade, DBI enabled</v>
      </c>
      <c r="B5" s="106"/>
      <c r="C5" s="106"/>
      <c r="D5" s="106"/>
      <c r="E5" s="106"/>
      <c r="F5" s="106"/>
      <c r="G5" s="106"/>
      <c r="H5" s="106"/>
      <c r="I5" s="106"/>
      <c r="J5" s="106"/>
      <c r="K5" s="106"/>
      <c r="L5" s="106"/>
      <c r="M5" s="106"/>
    </row>
    <row r="6" spans="1:15" ht="5.25" customHeight="1"/>
    <row r="7" spans="1:15" s="2" customFormat="1" ht="48" customHeight="1" thickBot="1">
      <c r="A7" s="104"/>
      <c r="B7" s="104"/>
      <c r="C7" s="510" t="e">
        <f>CONCATENATE(A49," ",A50," ",A51," All parameters are calculated and require no user input.")</f>
        <v>#REF!</v>
      </c>
      <c r="D7" s="511"/>
      <c r="E7" s="511"/>
      <c r="F7" s="511"/>
      <c r="G7" s="511"/>
      <c r="H7" s="511"/>
      <c r="I7" s="511"/>
      <c r="J7" s="511"/>
      <c r="K7" s="511"/>
      <c r="L7" s="511"/>
      <c r="M7" s="105"/>
    </row>
    <row r="8" spans="1:15" s="32" customFormat="1" ht="27" customHeight="1" thickBot="1">
      <c r="A8" s="129"/>
      <c r="B8" s="508" t="s">
        <v>204</v>
      </c>
      <c r="C8" s="509"/>
      <c r="D8" s="509"/>
      <c r="E8" s="509"/>
      <c r="F8" s="130"/>
      <c r="G8" s="130"/>
      <c r="H8" s="130"/>
      <c r="I8" s="130"/>
      <c r="J8" s="130"/>
      <c r="K8" s="130"/>
      <c r="L8" s="130"/>
      <c r="M8" s="130"/>
      <c r="N8" s="130"/>
      <c r="O8" s="131"/>
    </row>
    <row r="9" spans="1:15" ht="15" thickBot="1">
      <c r="A9" s="132"/>
      <c r="B9" s="264"/>
      <c r="C9" s="265"/>
      <c r="D9" s="267" t="s">
        <v>302</v>
      </c>
      <c r="E9" s="268" t="s">
        <v>300</v>
      </c>
      <c r="F9" s="269" t="s">
        <v>301</v>
      </c>
      <c r="G9" s="266"/>
      <c r="O9" s="133"/>
    </row>
    <row r="10" spans="1:15" ht="14.25">
      <c r="A10" s="132"/>
      <c r="B10" s="157" t="s">
        <v>207</v>
      </c>
      <c r="C10" s="158"/>
      <c r="D10" s="159" t="e">
        <f>'Power Calcs'!R17</f>
        <v>#REF!</v>
      </c>
      <c r="E10" s="159" t="e">
        <f>'Power Calcs'!P17</f>
        <v>#REF!</v>
      </c>
      <c r="F10" s="159" t="e">
        <f>'Power Calcs'!Q17</f>
        <v>#REF!</v>
      </c>
      <c r="G10" s="160" t="s">
        <v>8</v>
      </c>
      <c r="O10" s="133"/>
    </row>
    <row r="11" spans="1:15" ht="15">
      <c r="A11" s="132"/>
      <c r="B11" s="153"/>
      <c r="C11" s="154" t="s">
        <v>311</v>
      </c>
      <c r="D11" s="155" t="e">
        <f>D10</f>
        <v>#REF!</v>
      </c>
      <c r="E11" s="155" t="e">
        <f>E10</f>
        <v>#REF!</v>
      </c>
      <c r="F11" s="155" t="e">
        <f>F10</f>
        <v>#REF!</v>
      </c>
      <c r="G11" s="156" t="s">
        <v>8</v>
      </c>
      <c r="J11" s="270" t="s">
        <v>314</v>
      </c>
      <c r="K11" s="41" t="e">
        <f>$E$11</f>
        <v>#REF!</v>
      </c>
      <c r="O11" s="133"/>
    </row>
    <row r="12" spans="1:15" ht="14.25">
      <c r="A12" s="132"/>
      <c r="B12" s="161" t="s">
        <v>209</v>
      </c>
      <c r="C12" s="162"/>
      <c r="D12" s="163" t="e">
        <f>'Power Calcs'!R19</f>
        <v>#REF!</v>
      </c>
      <c r="E12" s="163" t="e">
        <f>'Power Calcs'!P19</f>
        <v>#REF!</v>
      </c>
      <c r="F12" s="163" t="e">
        <f>'Power Calcs'!Q19</f>
        <v>#REF!</v>
      </c>
      <c r="G12" s="164" t="s">
        <v>8</v>
      </c>
      <c r="J12" s="270" t="s">
        <v>315</v>
      </c>
      <c r="K12" s="41" t="e">
        <f>$F$11</f>
        <v>#REF!</v>
      </c>
      <c r="O12" s="133"/>
    </row>
    <row r="13" spans="1:15" ht="14.25">
      <c r="A13" s="132"/>
      <c r="B13" s="161" t="s">
        <v>208</v>
      </c>
      <c r="C13" s="162"/>
      <c r="D13" s="163">
        <f>'Power Calcs'!R18</f>
        <v>37.054803012113929</v>
      </c>
      <c r="E13" s="163">
        <f>'Power Calcs'!P18</f>
        <v>36.466890756302512</v>
      </c>
      <c r="F13" s="163">
        <f>'Power Calcs'!Q18</f>
        <v>0.5879122558114156</v>
      </c>
      <c r="G13" s="164" t="s">
        <v>8</v>
      </c>
      <c r="J13" s="270" t="s">
        <v>316</v>
      </c>
      <c r="K13" s="41" t="e">
        <f>$E$16</f>
        <v>#REF!</v>
      </c>
      <c r="O13" s="133"/>
    </row>
    <row r="14" spans="1:15" ht="14.25">
      <c r="A14" s="132"/>
      <c r="B14" s="161" t="s">
        <v>210</v>
      </c>
      <c r="C14" s="162"/>
      <c r="D14" s="163" t="e">
        <f>'Power Calcs'!R20</f>
        <v>#REF!</v>
      </c>
      <c r="E14" s="163" t="e">
        <f>'Power Calcs'!P20</f>
        <v>#REF!</v>
      </c>
      <c r="F14" s="163" t="e">
        <f>'Power Calcs'!Q20</f>
        <v>#REF!</v>
      </c>
      <c r="G14" s="164" t="s">
        <v>8</v>
      </c>
      <c r="J14" s="270" t="s">
        <v>317</v>
      </c>
      <c r="K14" s="41" t="e">
        <f>$F$16</f>
        <v>#REF!</v>
      </c>
      <c r="O14" s="133"/>
    </row>
    <row r="15" spans="1:15" ht="14.25">
      <c r="A15" s="132"/>
      <c r="B15" s="161" t="s">
        <v>211</v>
      </c>
      <c r="C15" s="162"/>
      <c r="D15" s="163">
        <f>'Power Calcs'!R21</f>
        <v>0</v>
      </c>
      <c r="E15" s="163">
        <f>'Power Calcs'!P21</f>
        <v>0</v>
      </c>
      <c r="F15" s="163">
        <f>'Power Calcs'!Q21</f>
        <v>0</v>
      </c>
      <c r="G15" s="164" t="s">
        <v>8</v>
      </c>
      <c r="J15" s="270" t="s">
        <v>318</v>
      </c>
      <c r="K15" s="41">
        <f>$E$22</f>
        <v>87.243488508795664</v>
      </c>
      <c r="O15" s="133"/>
    </row>
    <row r="16" spans="1:15" ht="15">
      <c r="A16" s="132"/>
      <c r="B16" s="149"/>
      <c r="C16" s="150" t="s">
        <v>312</v>
      </c>
      <c r="D16" s="151" t="e">
        <f>+D12+D13+D14+D15</f>
        <v>#REF!</v>
      </c>
      <c r="E16" s="151" t="e">
        <f>+E12+E13+E14+E15</f>
        <v>#REF!</v>
      </c>
      <c r="F16" s="151" t="e">
        <f>+F12+F13+F14+F15</f>
        <v>#REF!</v>
      </c>
      <c r="G16" s="152" t="s">
        <v>8</v>
      </c>
      <c r="J16" s="270" t="s">
        <v>319</v>
      </c>
      <c r="K16" s="41">
        <f>$F$22</f>
        <v>8.8585630654107028</v>
      </c>
      <c r="O16" s="133"/>
    </row>
    <row r="17" spans="1:19" ht="14.25">
      <c r="A17" s="132"/>
      <c r="B17" s="165" t="s">
        <v>205</v>
      </c>
      <c r="C17" s="166"/>
      <c r="D17" s="167">
        <f>'Power Calcs'!R15</f>
        <v>93.762024809923972</v>
      </c>
      <c r="E17" s="167">
        <f>'Power Calcs'!P15</f>
        <v>85.029531812725097</v>
      </c>
      <c r="F17" s="167">
        <f>'Power Calcs'!Q15</f>
        <v>8.7324929971988787</v>
      </c>
      <c r="G17" s="168" t="s">
        <v>8</v>
      </c>
      <c r="O17" s="133"/>
    </row>
    <row r="18" spans="1:19" ht="14.25">
      <c r="A18" s="132"/>
      <c r="B18" s="165" t="s">
        <v>202</v>
      </c>
      <c r="C18" s="166"/>
      <c r="D18" s="167">
        <f>'Power Calcs'!R13</f>
        <v>0</v>
      </c>
      <c r="E18" s="167">
        <f>'Power Calcs'!P13</f>
        <v>0</v>
      </c>
      <c r="F18" s="167">
        <f>'Power Calcs'!Q13</f>
        <v>0</v>
      </c>
      <c r="G18" s="168" t="s">
        <v>8</v>
      </c>
      <c r="O18" s="133"/>
      <c r="R18" s="289" t="s">
        <v>175</v>
      </c>
    </row>
    <row r="19" spans="1:19" ht="14.25">
      <c r="A19" s="132"/>
      <c r="B19" s="165" t="s">
        <v>203</v>
      </c>
      <c r="C19" s="166"/>
      <c r="D19" s="167">
        <f>'Power Calcs'!R14</f>
        <v>0</v>
      </c>
      <c r="E19" s="167">
        <f>'Power Calcs'!P14</f>
        <v>0</v>
      </c>
      <c r="F19" s="167">
        <f>'Power Calcs'!Q14</f>
        <v>0</v>
      </c>
      <c r="G19" s="168" t="s">
        <v>8</v>
      </c>
      <c r="O19" s="133"/>
    </row>
    <row r="20" spans="1:19" ht="14.25">
      <c r="A20" s="132"/>
      <c r="B20" s="165" t="s">
        <v>201</v>
      </c>
      <c r="C20" s="166"/>
      <c r="D20" s="167">
        <f>'Power Calcs'!R12</f>
        <v>0</v>
      </c>
      <c r="E20" s="167">
        <f>'Power Calcs'!P12</f>
        <v>0</v>
      </c>
      <c r="F20" s="167">
        <f>'Power Calcs'!Q12</f>
        <v>0</v>
      </c>
      <c r="G20" s="168" t="s">
        <v>8</v>
      </c>
      <c r="O20" s="133"/>
    </row>
    <row r="21" spans="1:19" ht="14.25">
      <c r="A21" s="132"/>
      <c r="B21" s="165" t="s">
        <v>206</v>
      </c>
      <c r="C21" s="166"/>
      <c r="D21" s="167">
        <f>'Power Calcs'!R16</f>
        <v>2.3400267642823924</v>
      </c>
      <c r="E21" s="167">
        <f>'Power Calcs'!P16</f>
        <v>2.2139566960705688</v>
      </c>
      <c r="F21" s="167">
        <f>'Power Calcs'!Q16</f>
        <v>0.12607006821182382</v>
      </c>
      <c r="G21" s="168" t="s">
        <v>8</v>
      </c>
      <c r="O21" s="133"/>
    </row>
    <row r="22" spans="1:19" ht="15">
      <c r="A22" s="132"/>
      <c r="B22" s="145"/>
      <c r="C22" s="146" t="s">
        <v>313</v>
      </c>
      <c r="D22" s="147">
        <f>SUM(D17:D21)</f>
        <v>96.102051574206371</v>
      </c>
      <c r="E22" s="147">
        <f>SUM(E17:E21)</f>
        <v>87.243488508795664</v>
      </c>
      <c r="F22" s="147">
        <f>SUM(F17:F21)</f>
        <v>8.8585630654107028</v>
      </c>
      <c r="G22" s="148" t="s">
        <v>8</v>
      </c>
      <c r="O22" s="133"/>
      <c r="R22" s="128" t="s">
        <v>175</v>
      </c>
      <c r="S22" s="41"/>
    </row>
    <row r="23" spans="1:19" ht="15">
      <c r="A23" s="132"/>
      <c r="B23" s="138" t="s">
        <v>273</v>
      </c>
      <c r="C23" s="137"/>
      <c r="D23" s="139" t="e">
        <f>+D16+D11+D22</f>
        <v>#REF!</v>
      </c>
      <c r="E23" s="139" t="e">
        <f>+E16+E11+E22</f>
        <v>#REF!</v>
      </c>
      <c r="F23" s="139" t="e">
        <f>+F16+F11+F22</f>
        <v>#REF!</v>
      </c>
      <c r="G23" s="140" t="s">
        <v>8</v>
      </c>
      <c r="O23" s="133"/>
      <c r="R23" s="128" t="s">
        <v>175</v>
      </c>
      <c r="S23" s="41"/>
    </row>
    <row r="24" spans="1:19" ht="15.75" thickBot="1">
      <c r="A24" s="132"/>
      <c r="B24" s="141" t="s">
        <v>212</v>
      </c>
      <c r="C24" s="142"/>
      <c r="D24" s="143">
        <f>+'Power Calcs'!R22+'Power Calcs'!R23</f>
        <v>0</v>
      </c>
      <c r="E24" s="143">
        <f>+'Power Calcs'!P22+'Power Calcs'!P23</f>
        <v>0</v>
      </c>
      <c r="F24" s="143">
        <f>+'Power Calcs'!Q22+'Power Calcs'!Q23</f>
        <v>0</v>
      </c>
      <c r="G24" s="144" t="s">
        <v>8</v>
      </c>
      <c r="O24" s="133"/>
      <c r="R24" s="128" t="s">
        <v>175</v>
      </c>
      <c r="S24" s="41"/>
    </row>
    <row r="25" spans="1:19">
      <c r="A25" s="132"/>
      <c r="C25" s="41"/>
      <c r="D25" s="41"/>
      <c r="O25" s="133"/>
      <c r="R25" s="128" t="s">
        <v>175</v>
      </c>
      <c r="S25" s="41"/>
    </row>
    <row r="26" spans="1:19">
      <c r="A26" s="132"/>
      <c r="C26" s="41"/>
      <c r="D26" s="41"/>
      <c r="O26" s="133"/>
    </row>
    <row r="27" spans="1:19">
      <c r="A27" s="132"/>
      <c r="C27" s="41"/>
      <c r="D27" s="41"/>
      <c r="O27" s="133"/>
    </row>
    <row r="28" spans="1:19">
      <c r="A28" s="132"/>
      <c r="C28" s="41"/>
      <c r="D28" s="41"/>
      <c r="O28" s="133"/>
    </row>
    <row r="29" spans="1:19">
      <c r="A29" s="132"/>
      <c r="C29" s="41"/>
      <c r="D29" s="41"/>
      <c r="O29" s="133"/>
    </row>
    <row r="30" spans="1:19">
      <c r="A30" s="132"/>
      <c r="C30" s="41"/>
      <c r="D30" s="41"/>
      <c r="O30" s="133"/>
    </row>
    <row r="31" spans="1:19">
      <c r="A31" s="132"/>
      <c r="C31" s="41"/>
      <c r="D31" s="41"/>
      <c r="E31" s="270" t="s">
        <v>300</v>
      </c>
      <c r="F31" s="270" t="s">
        <v>301</v>
      </c>
      <c r="O31" s="133"/>
    </row>
    <row r="32" spans="1:19">
      <c r="A32" s="132"/>
      <c r="C32" s="262" t="str">
        <f>$B$10</f>
        <v>ACT</v>
      </c>
      <c r="D32" s="263" t="e">
        <f>$D$10</f>
        <v>#REF!</v>
      </c>
      <c r="E32" s="263" t="e">
        <f>$E$10</f>
        <v>#REF!</v>
      </c>
      <c r="F32" s="263" t="e">
        <f>$F$10</f>
        <v>#REF!</v>
      </c>
      <c r="O32" s="133"/>
    </row>
    <row r="33" spans="1:15">
      <c r="A33" s="132"/>
      <c r="C33" s="262" t="str">
        <f>$B$12</f>
        <v>RD</v>
      </c>
      <c r="D33" s="263" t="e">
        <f>$D$12</f>
        <v>#REF!</v>
      </c>
      <c r="E33" s="263" t="e">
        <f>$E$12</f>
        <v>#REF!</v>
      </c>
      <c r="F33" s="263" t="e">
        <f>$F$12</f>
        <v>#REF!</v>
      </c>
      <c r="O33" s="133"/>
    </row>
    <row r="34" spans="1:15">
      <c r="A34" s="132"/>
      <c r="C34" s="262" t="str">
        <f>$B$13</f>
        <v>WR</v>
      </c>
      <c r="D34" s="263">
        <f>$D$13</f>
        <v>37.054803012113929</v>
      </c>
      <c r="E34" s="263">
        <f>$E$13</f>
        <v>36.466890756302512</v>
      </c>
      <c r="F34" s="263">
        <f>$F$13</f>
        <v>0.5879122558114156</v>
      </c>
      <c r="O34" s="133"/>
    </row>
    <row r="35" spans="1:15">
      <c r="A35" s="132"/>
      <c r="C35" s="262" t="str">
        <f>$B$14</f>
        <v>READ I/O</v>
      </c>
      <c r="D35" s="263" t="e">
        <f>$D$14</f>
        <v>#REF!</v>
      </c>
      <c r="E35" s="263" t="e">
        <f>$E$14</f>
        <v>#REF!</v>
      </c>
      <c r="F35" s="263" t="e">
        <f>$F$14</f>
        <v>#REF!</v>
      </c>
      <c r="O35" s="133"/>
    </row>
    <row r="36" spans="1:15">
      <c r="A36" s="132"/>
      <c r="C36" s="262" t="str">
        <f>$B$15</f>
        <v>Write ODT</v>
      </c>
      <c r="D36" s="263">
        <f>$D$15</f>
        <v>0</v>
      </c>
      <c r="E36" s="263">
        <f>$E$15</f>
        <v>0</v>
      </c>
      <c r="F36" s="263">
        <f>$F$15</f>
        <v>0</v>
      </c>
      <c r="O36" s="133"/>
    </row>
    <row r="37" spans="1:15">
      <c r="A37" s="132"/>
      <c r="C37" s="262" t="str">
        <f>$B$17</f>
        <v>ACT_STBY</v>
      </c>
      <c r="D37" s="263">
        <f>$D$17</f>
        <v>93.762024809923972</v>
      </c>
      <c r="E37" s="263">
        <f>$E$17</f>
        <v>85.029531812725097</v>
      </c>
      <c r="F37" s="263">
        <f>$F$17</f>
        <v>8.7324929971988787</v>
      </c>
      <c r="O37" s="133"/>
    </row>
    <row r="38" spans="1:15">
      <c r="A38" s="132"/>
      <c r="C38" s="262" t="str">
        <f>$B$18</f>
        <v>PRE_STBY</v>
      </c>
      <c r="D38" s="263">
        <f>$D$18</f>
        <v>0</v>
      </c>
      <c r="E38" s="263">
        <f>$E$18</f>
        <v>0</v>
      </c>
      <c r="F38" s="263">
        <f>$F$18</f>
        <v>0</v>
      </c>
      <c r="O38" s="133"/>
    </row>
    <row r="39" spans="1:15">
      <c r="A39" s="132"/>
      <c r="C39" s="262" t="str">
        <f>$B$19</f>
        <v>ACT_PDN</v>
      </c>
      <c r="D39" s="263">
        <f>$D$19</f>
        <v>0</v>
      </c>
      <c r="E39" s="263">
        <f>$E$19</f>
        <v>0</v>
      </c>
      <c r="F39" s="263">
        <f>$F$19</f>
        <v>0</v>
      </c>
      <c r="O39" s="133"/>
    </row>
    <row r="40" spans="1:15">
      <c r="A40" s="132"/>
      <c r="C40" s="262" t="str">
        <f>$B$20</f>
        <v>PRE_PDN</v>
      </c>
      <c r="D40" s="263">
        <f>$D$20</f>
        <v>0</v>
      </c>
      <c r="E40" s="263">
        <f>$E$20</f>
        <v>0</v>
      </c>
      <c r="F40" s="263">
        <f>$F$20</f>
        <v>0</v>
      </c>
      <c r="O40" s="133"/>
    </row>
    <row r="41" spans="1:15">
      <c r="A41" s="132"/>
      <c r="C41" s="262" t="str">
        <f>$B$21</f>
        <v>REF</v>
      </c>
      <c r="D41" s="263">
        <f>$D$21</f>
        <v>2.3400267642823924</v>
      </c>
      <c r="E41" s="263">
        <f>$E$21</f>
        <v>2.2139566960705688</v>
      </c>
      <c r="F41" s="263">
        <f>$F$21</f>
        <v>0.12607006821182382</v>
      </c>
      <c r="O41" s="133"/>
    </row>
    <row r="42" spans="1:15">
      <c r="A42" s="132"/>
      <c r="C42" s="262" t="str">
        <f>$B$24</f>
        <v>TERM 2nd rank</v>
      </c>
      <c r="D42" s="263">
        <f>$D$24</f>
        <v>0</v>
      </c>
      <c r="E42" s="263">
        <f>$E$24</f>
        <v>0</v>
      </c>
      <c r="F42" s="263">
        <f>$F$24</f>
        <v>0</v>
      </c>
      <c r="O42" s="133"/>
    </row>
    <row r="43" spans="1:15">
      <c r="A43" s="132"/>
      <c r="C43" s="41"/>
      <c r="D43" s="41"/>
      <c r="O43" s="133"/>
    </row>
    <row r="44" spans="1:15">
      <c r="A44" s="132"/>
      <c r="C44" s="41"/>
      <c r="D44" s="41"/>
      <c r="O44" s="133"/>
    </row>
    <row r="45" spans="1:15">
      <c r="A45" s="132"/>
      <c r="O45" s="133"/>
    </row>
    <row r="46" spans="1:15">
      <c r="A46" s="132"/>
      <c r="O46" s="133"/>
    </row>
    <row r="47" spans="1:15">
      <c r="A47" s="132"/>
      <c r="O47" s="133"/>
    </row>
    <row r="48" spans="1:15">
      <c r="A48" s="132"/>
      <c r="O48" s="133"/>
    </row>
    <row r="49" spans="1:15">
      <c r="A49" s="132" t="str">
        <f>CONCATENATE("System is operating at ",'System Config'!N9," MHz clock with VDD = ",'System Config'!N7,"V"," and VPP=",'System Config'!N8,"V.")</f>
        <v>System is operating at 1200.48019207683 MHz clock with VDD = 1.2V and VPP=2.5V.</v>
      </c>
      <c r="O49" s="133"/>
    </row>
    <row r="50" spans="1:15">
      <c r="A50" s="132" t="e">
        <f>CONCATENATE("Read bandwidth is ",B52," MT/s with write bandwidth of ",B53," MT/s. The DRAM terminates  ",B54," MT/s.")</f>
        <v>#REF!</v>
      </c>
      <c r="O50" s="133"/>
    </row>
    <row r="51" spans="1:15">
      <c r="A51" s="132" t="e">
        <f>CONCATENATE("ACT commands are separated by ",'System Config'!N28,"ns on average.")</f>
        <v>#REF!</v>
      </c>
      <c r="O51" s="133"/>
    </row>
    <row r="52" spans="1:15">
      <c r="A52" s="132"/>
      <c r="B52" s="42" t="e">
        <f>INT('System Config'!N9*'System Config'!N21*'DDR4 Config'!D8/8*20+0.999)/10</f>
        <v>#REF!</v>
      </c>
      <c r="C52" t="s">
        <v>26</v>
      </c>
      <c r="O52" s="133"/>
    </row>
    <row r="53" spans="1:15">
      <c r="A53" s="132" t="s">
        <v>12</v>
      </c>
      <c r="B53" s="43">
        <f>INT('System Config'!N9*'System Config'!N23*'DDR4 Config'!D8/8*20+0.99)/10</f>
        <v>360.2</v>
      </c>
      <c r="C53" t="s">
        <v>26</v>
      </c>
      <c r="O53" s="133"/>
    </row>
    <row r="54" spans="1:15">
      <c r="A54" s="132" t="s">
        <v>25</v>
      </c>
      <c r="B54" s="44">
        <f>INT('System Config'!N9*('System Config'!N26+'System Config'!N25)*'DDR4 Config'!D8/8*20+0.99)/10</f>
        <v>0</v>
      </c>
      <c r="C54" t="s">
        <v>26</v>
      </c>
      <c r="O54" s="133"/>
    </row>
    <row r="55" spans="1:15">
      <c r="A55" s="132" t="s">
        <v>77</v>
      </c>
      <c r="O55" s="133"/>
    </row>
    <row r="56" spans="1:15">
      <c r="A56" s="132"/>
      <c r="O56" s="133"/>
    </row>
    <row r="57" spans="1:15">
      <c r="A57" s="132"/>
      <c r="O57" s="133"/>
    </row>
    <row r="58" spans="1:15">
      <c r="A58" s="132"/>
      <c r="O58" s="133"/>
    </row>
    <row r="59" spans="1:15">
      <c r="A59" s="132"/>
      <c r="O59" s="133"/>
    </row>
    <row r="60" spans="1:15" hidden="1">
      <c r="A60" s="132"/>
      <c r="O60" s="133"/>
    </row>
    <row r="61" spans="1:15" hidden="1">
      <c r="A61" s="132"/>
      <c r="O61" s="133"/>
    </row>
    <row r="62" spans="1:15" hidden="1">
      <c r="A62" s="132"/>
      <c r="O62" s="133"/>
    </row>
    <row r="63" spans="1:15" ht="13.5" thickBot="1">
      <c r="A63" s="134"/>
      <c r="B63" s="135"/>
      <c r="C63" s="135"/>
      <c r="D63" s="135"/>
      <c r="E63" s="135"/>
      <c r="F63" s="135"/>
      <c r="G63" s="135"/>
      <c r="H63" s="135"/>
      <c r="I63" s="135"/>
      <c r="J63" s="135"/>
      <c r="K63" s="135"/>
      <c r="L63" s="135"/>
      <c r="M63" s="135"/>
      <c r="N63" s="135"/>
      <c r="O63" s="136"/>
    </row>
  </sheetData>
  <mergeCells count="2">
    <mergeCell ref="B8:E8"/>
    <mergeCell ref="C7:L7"/>
  </mergeCells>
  <phoneticPr fontId="0" type="noConversion"/>
  <printOptions horizontalCentered="1"/>
  <pageMargins left="0.25" right="0.25" top="0.25" bottom="0.25" header="0.5" footer="0.5"/>
  <pageSetup scale="71"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BBADC-6AF3-4E34-8FDE-BF8F97FB0FEE}">
  <dimension ref="A1:W33"/>
  <sheetViews>
    <sheetView showGridLines="0" zoomScaleNormal="100" workbookViewId="0">
      <selection activeCell="K33" sqref="K33"/>
    </sheetView>
  </sheetViews>
  <sheetFormatPr defaultRowHeight="12.75"/>
  <cols>
    <col min="2" max="2" width="17.28515625" customWidth="1"/>
    <col min="3" max="3" width="9.85546875" customWidth="1"/>
    <col min="4" max="4" width="10" customWidth="1"/>
    <col min="9" max="10" width="8.140625" customWidth="1"/>
    <col min="13" max="14" width="10.140625" customWidth="1"/>
    <col min="15" max="15" width="10.28515625" customWidth="1"/>
    <col min="18" max="18" width="0" hidden="1" customWidth="1"/>
    <col min="19" max="20" width="9.140625" hidden="1" customWidth="1"/>
    <col min="21" max="21" width="9.42578125" hidden="1" customWidth="1"/>
    <col min="22" max="22" width="0" hidden="1" customWidth="1"/>
  </cols>
  <sheetData>
    <row r="1" spans="1:23" ht="18.75" customHeight="1">
      <c r="S1">
        <v>1</v>
      </c>
      <c r="T1">
        <v>1</v>
      </c>
      <c r="U1">
        <v>1</v>
      </c>
    </row>
    <row r="2" spans="1:23" ht="18.75" customHeight="1" thickBot="1">
      <c r="A2" s="367"/>
      <c r="B2" s="367"/>
    </row>
    <row r="3" spans="1:23" ht="17.25" customHeight="1" thickBot="1">
      <c r="B3" s="524" t="s">
        <v>471</v>
      </c>
      <c r="C3" s="525"/>
      <c r="D3" s="310">
        <f>INDEX(S4:S6,S1)</f>
        <v>1</v>
      </c>
    </row>
    <row r="4" spans="1:23" ht="17.25" customHeight="1" thickBot="1">
      <c r="B4" s="526" t="s">
        <v>361</v>
      </c>
      <c r="C4" s="527"/>
      <c r="D4" s="311" t="str">
        <f>INDEX(T4:T7,T1)</f>
        <v>RDIMM</v>
      </c>
      <c r="I4" s="512" t="s">
        <v>381</v>
      </c>
      <c r="J4" s="512"/>
      <c r="K4" s="512"/>
      <c r="L4" s="512"/>
      <c r="M4" s="512"/>
      <c r="N4" s="512"/>
      <c r="O4" s="512"/>
      <c r="P4" s="512"/>
      <c r="Q4" s="512"/>
      <c r="S4">
        <v>1</v>
      </c>
      <c r="T4" s="270" t="s">
        <v>363</v>
      </c>
      <c r="U4" s="270" t="s">
        <v>379</v>
      </c>
    </row>
    <row r="5" spans="1:23" ht="17.25" customHeight="1" thickBot="1">
      <c r="B5" s="318" t="s">
        <v>378</v>
      </c>
      <c r="C5" s="319"/>
      <c r="D5" s="311" t="str">
        <f>INDEX(U4:U5,U1)</f>
        <v>yes</v>
      </c>
      <c r="I5" s="513" t="s">
        <v>367</v>
      </c>
      <c r="J5" s="513" t="s">
        <v>413</v>
      </c>
      <c r="K5" s="513" t="s">
        <v>385</v>
      </c>
      <c r="L5" s="513" t="s">
        <v>322</v>
      </c>
      <c r="M5" s="518" t="s">
        <v>386</v>
      </c>
      <c r="N5" s="519"/>
      <c r="O5" s="520"/>
      <c r="P5" s="513" t="s">
        <v>418</v>
      </c>
      <c r="Q5" s="513" t="s">
        <v>391</v>
      </c>
      <c r="S5">
        <v>2</v>
      </c>
      <c r="T5" s="270" t="s">
        <v>364</v>
      </c>
      <c r="U5" s="270" t="s">
        <v>380</v>
      </c>
    </row>
    <row r="6" spans="1:23" ht="16.5" customHeight="1" thickBot="1">
      <c r="B6" s="528" t="s">
        <v>382</v>
      </c>
      <c r="C6" s="529"/>
      <c r="D6" s="329" t="str">
        <f>CONCATENATE("x",'DDR4 Config'!D8)</f>
        <v>x4</v>
      </c>
      <c r="I6" s="514"/>
      <c r="J6" s="514"/>
      <c r="K6" s="514"/>
      <c r="L6" s="514"/>
      <c r="M6" s="516" t="s">
        <v>389</v>
      </c>
      <c r="N6" s="513" t="s">
        <v>387</v>
      </c>
      <c r="O6" s="513" t="s">
        <v>388</v>
      </c>
      <c r="P6" s="514"/>
      <c r="Q6" s="514"/>
      <c r="S6">
        <v>4</v>
      </c>
      <c r="T6" s="270" t="s">
        <v>365</v>
      </c>
    </row>
    <row r="7" spans="1:23" ht="13.5" customHeight="1" thickBot="1">
      <c r="B7" s="528" t="s">
        <v>383</v>
      </c>
      <c r="C7" s="529"/>
      <c r="D7" s="330">
        <f>IF('DDR4 Config'!D7="4Gb",4,IF('DDR4 Config'!D7="8Gb",8,16))</f>
        <v>16</v>
      </c>
      <c r="I7" s="515"/>
      <c r="J7" s="515"/>
      <c r="K7" s="515"/>
      <c r="L7" s="515"/>
      <c r="M7" s="517"/>
      <c r="N7" s="514"/>
      <c r="O7" s="514"/>
      <c r="P7" s="515"/>
      <c r="Q7" s="515"/>
      <c r="T7" s="270" t="s">
        <v>366</v>
      </c>
    </row>
    <row r="8" spans="1:23" ht="15" thickBot="1">
      <c r="B8" s="528" t="s">
        <v>414</v>
      </c>
      <c r="C8" s="529"/>
      <c r="D8" s="330" t="str">
        <f>INDEX('DDR4 Config'!W3:W5,'DDR4 Config'!W1)</f>
        <v>SDP</v>
      </c>
      <c r="I8" s="321" t="str">
        <f>D6</f>
        <v>x4</v>
      </c>
      <c r="J8" s="365" t="str">
        <f>D8</f>
        <v>SDP</v>
      </c>
      <c r="K8" s="322" t="str">
        <f>D4</f>
        <v>RDIMM</v>
      </c>
      <c r="L8" s="331">
        <f>'DDR4 Config'!B9</f>
        <v>2400</v>
      </c>
      <c r="M8" s="323" t="e">
        <f>D31</f>
        <v>#REF!</v>
      </c>
      <c r="N8" s="323">
        <f>D32</f>
        <v>96.102051574206371</v>
      </c>
      <c r="O8" s="323">
        <f>D33</f>
        <v>0</v>
      </c>
      <c r="P8" s="324">
        <f>D3</f>
        <v>1</v>
      </c>
      <c r="Q8" s="325" t="e">
        <f>(D9+D12)*P8*(M8+O8)/1000+D11</f>
        <v>#REF!</v>
      </c>
      <c r="W8" s="270"/>
    </row>
    <row r="9" spans="1:23" ht="13.5" thickBot="1">
      <c r="B9" s="530" t="s">
        <v>376</v>
      </c>
      <c r="C9" s="531"/>
      <c r="D9" s="326">
        <f>(64*D3/'DDR4 Config'!D8)/D3</f>
        <v>16</v>
      </c>
      <c r="I9" s="367" t="s">
        <v>419</v>
      </c>
    </row>
    <row r="10" spans="1:23" ht="13.5" thickBot="1">
      <c r="B10" s="530" t="s">
        <v>374</v>
      </c>
      <c r="C10" s="531"/>
      <c r="D10" s="326">
        <f>IF(D8="SDP",(D7*D9*D3)/8,(D7*D9*(D3/2))/8)</f>
        <v>32</v>
      </c>
      <c r="I10" s="366" t="e">
        <f>IF(D20=0,"WARNING: Make sure 'DDR4 Spec' tab is populated","")</f>
        <v>#REF!</v>
      </c>
    </row>
    <row r="11" spans="1:23" ht="13.5" thickBot="1">
      <c r="B11" s="530" t="s">
        <v>375</v>
      </c>
      <c r="C11" s="531"/>
      <c r="D11" s="333">
        <f>IF(D4="LRDIMM",2.75,IF(D4="RDIMM",0.5,0))</f>
        <v>0.5</v>
      </c>
      <c r="I11" s="366" t="str">
        <f>IF(AND(OR(D4="LRDIMM",D4="RDIMM"),D5="no"),"WARNING: ECC must be set to 'yes' for LRDIMM/RDIMM","")</f>
        <v/>
      </c>
    </row>
    <row r="12" spans="1:23" ht="13.5" thickBot="1">
      <c r="B12" s="532" t="s">
        <v>377</v>
      </c>
      <c r="C12" s="533"/>
      <c r="D12" s="327">
        <f>IF(D6="x16",0,IF(D5="no",0,D9/8))</f>
        <v>2</v>
      </c>
      <c r="I12" s="366" t="str">
        <f>IF(AND(D3=4,D8="SDP"),"WARNING: Cannot have 4 ranks if package=SDP","")</f>
        <v/>
      </c>
    </row>
    <row r="13" spans="1:23">
      <c r="C13" s="320"/>
      <c r="I13" s="366" t="str">
        <f>IF(AND(D3&lt;&gt;4,D8="DDP2R"),"WARNING: Module ranks must be 4 if package=DDP","")</f>
        <v/>
      </c>
    </row>
    <row r="14" spans="1:23">
      <c r="B14" s="337"/>
      <c r="C14" s="320"/>
      <c r="I14" s="366"/>
      <c r="J14" s="366"/>
    </row>
    <row r="15" spans="1:23">
      <c r="B15" s="337"/>
      <c r="C15" s="320"/>
    </row>
    <row r="16" spans="1:23" ht="13.5" thickBot="1">
      <c r="B16" s="523" t="s">
        <v>384</v>
      </c>
      <c r="C16" s="523"/>
      <c r="D16" s="523"/>
    </row>
    <row r="17" spans="2:4" ht="13.5" thickBot="1">
      <c r="B17" s="534" t="str">
        <f>CONCATENATE('DDR4 Config'!D7," DDR4  ",'DDR4 Config'!D8," DQs ",'DDR4 Config'!D9," Speed ",)</f>
        <v xml:space="preserve">16Gb DDR4  4 DQs -083 Speed </v>
      </c>
      <c r="C17" s="535"/>
      <c r="D17" s="536"/>
    </row>
    <row r="18" spans="2:4" ht="15" thickBot="1">
      <c r="B18" s="305"/>
      <c r="C18" s="306"/>
      <c r="D18" s="328" t="s">
        <v>302</v>
      </c>
    </row>
    <row r="19" spans="2:4" ht="14.25">
      <c r="B19" s="157" t="s">
        <v>207</v>
      </c>
      <c r="C19" s="158"/>
      <c r="D19" s="159" t="e">
        <f>Summary!D10</f>
        <v>#REF!</v>
      </c>
    </row>
    <row r="20" spans="2:4" ht="15">
      <c r="B20" s="537" t="s">
        <v>311</v>
      </c>
      <c r="C20" s="538"/>
      <c r="D20" s="155" t="e">
        <f>D19</f>
        <v>#REF!</v>
      </c>
    </row>
    <row r="21" spans="2:4" ht="14.25">
      <c r="B21" s="161" t="s">
        <v>209</v>
      </c>
      <c r="C21" s="162"/>
      <c r="D21" s="163" t="e">
        <f>Summary!D12</f>
        <v>#REF!</v>
      </c>
    </row>
    <row r="22" spans="2:4" ht="14.25">
      <c r="B22" s="161" t="s">
        <v>208</v>
      </c>
      <c r="C22" s="162"/>
      <c r="D22" s="163">
        <f>Summary!D13</f>
        <v>37.054803012113929</v>
      </c>
    </row>
    <row r="23" spans="2:4" ht="14.25">
      <c r="B23" s="161" t="s">
        <v>210</v>
      </c>
      <c r="C23" s="162"/>
      <c r="D23" s="163" t="e">
        <f>Summary!D14</f>
        <v>#REF!</v>
      </c>
    </row>
    <row r="24" spans="2:4" ht="14.25">
      <c r="B24" s="161" t="s">
        <v>211</v>
      </c>
      <c r="C24" s="162"/>
      <c r="D24" s="163">
        <f>Summary!D15</f>
        <v>0</v>
      </c>
    </row>
    <row r="25" spans="2:4" ht="15">
      <c r="B25" s="539" t="s">
        <v>312</v>
      </c>
      <c r="C25" s="540"/>
      <c r="D25" s="151" t="e">
        <f>+D21+D22+D23+D24</f>
        <v>#REF!</v>
      </c>
    </row>
    <row r="26" spans="2:4" ht="14.25">
      <c r="B26" s="165" t="s">
        <v>205</v>
      </c>
      <c r="C26" s="166"/>
      <c r="D26" s="167">
        <f>Summary!D17</f>
        <v>93.762024809923972</v>
      </c>
    </row>
    <row r="27" spans="2:4" ht="14.25">
      <c r="B27" s="165" t="s">
        <v>202</v>
      </c>
      <c r="C27" s="166"/>
      <c r="D27" s="167">
        <f>Summary!D18</f>
        <v>0</v>
      </c>
    </row>
    <row r="28" spans="2:4" ht="14.25">
      <c r="B28" s="165" t="s">
        <v>203</v>
      </c>
      <c r="C28" s="166"/>
      <c r="D28" s="167">
        <f>Summary!D19</f>
        <v>0</v>
      </c>
    </row>
    <row r="29" spans="2:4" ht="14.25">
      <c r="B29" s="165" t="s">
        <v>201</v>
      </c>
      <c r="C29" s="166"/>
      <c r="D29" s="167">
        <f>Summary!D20</f>
        <v>0</v>
      </c>
    </row>
    <row r="30" spans="2:4" ht="14.25">
      <c r="B30" s="165" t="s">
        <v>206</v>
      </c>
      <c r="C30" s="166"/>
      <c r="D30" s="167">
        <f>Summary!D21</f>
        <v>2.3400267642823924</v>
      </c>
    </row>
    <row r="31" spans="2:4" ht="15">
      <c r="B31" s="138" t="s">
        <v>332</v>
      </c>
      <c r="C31" s="137"/>
      <c r="D31" s="139" t="e">
        <f>+D25+D20+D32</f>
        <v>#REF!</v>
      </c>
    </row>
    <row r="32" spans="2:4" ht="15">
      <c r="B32" s="521" t="s">
        <v>313</v>
      </c>
      <c r="C32" s="522"/>
      <c r="D32" s="147">
        <f>SUM(D26:D30)</f>
        <v>96.102051574206371</v>
      </c>
    </row>
    <row r="33" spans="2:4" ht="15.75" thickBot="1">
      <c r="B33" s="141" t="s">
        <v>212</v>
      </c>
      <c r="C33" s="142"/>
      <c r="D33" s="143">
        <f>Summary!D24</f>
        <v>0</v>
      </c>
    </row>
  </sheetData>
  <mergeCells count="25">
    <mergeCell ref="B32:C32"/>
    <mergeCell ref="B16:D16"/>
    <mergeCell ref="B3:C3"/>
    <mergeCell ref="B4:C4"/>
    <mergeCell ref="B6:C6"/>
    <mergeCell ref="B9:C9"/>
    <mergeCell ref="B10:C10"/>
    <mergeCell ref="B11:C11"/>
    <mergeCell ref="B12:C12"/>
    <mergeCell ref="B17:D17"/>
    <mergeCell ref="B20:C20"/>
    <mergeCell ref="B25:C25"/>
    <mergeCell ref="B7:C7"/>
    <mergeCell ref="B8:C8"/>
    <mergeCell ref="I4:Q4"/>
    <mergeCell ref="Q5:Q7"/>
    <mergeCell ref="I5:I7"/>
    <mergeCell ref="K5:K7"/>
    <mergeCell ref="L5:L7"/>
    <mergeCell ref="P5:P7"/>
    <mergeCell ref="M6:M7"/>
    <mergeCell ref="N6:N7"/>
    <mergeCell ref="O6:O7"/>
    <mergeCell ref="M5:O5"/>
    <mergeCell ref="J5:J7"/>
  </mergeCells>
  <phoneticPr fontId="62" type="noConversion"/>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Drop Down 2">
              <controlPr defaultSize="0" autoFill="0" autoLine="0" autoPict="0">
                <anchor moveWithCells="1">
                  <from>
                    <xdr:col>3</xdr:col>
                    <xdr:colOff>0</xdr:colOff>
                    <xdr:row>2</xdr:row>
                    <xdr:rowOff>0</xdr:rowOff>
                  </from>
                  <to>
                    <xdr:col>3</xdr:col>
                    <xdr:colOff>657225</xdr:colOff>
                    <xdr:row>2</xdr:row>
                    <xdr:rowOff>209550</xdr:rowOff>
                  </to>
                </anchor>
              </controlPr>
            </control>
          </mc:Choice>
        </mc:AlternateContent>
        <mc:AlternateContent xmlns:mc="http://schemas.openxmlformats.org/markup-compatibility/2006">
          <mc:Choice Requires="x14">
            <control shapeId="10243" r:id="rId5" name="Drop Down 3">
              <controlPr defaultSize="0" autoFill="0" autoLine="0" autoPict="0">
                <anchor moveWithCells="1">
                  <from>
                    <xdr:col>3</xdr:col>
                    <xdr:colOff>0</xdr:colOff>
                    <xdr:row>3</xdr:row>
                    <xdr:rowOff>0</xdr:rowOff>
                  </from>
                  <to>
                    <xdr:col>3</xdr:col>
                    <xdr:colOff>657225</xdr:colOff>
                    <xdr:row>3</xdr:row>
                    <xdr:rowOff>209550</xdr:rowOff>
                  </to>
                </anchor>
              </controlPr>
            </control>
          </mc:Choice>
        </mc:AlternateContent>
        <mc:AlternateContent xmlns:mc="http://schemas.openxmlformats.org/markup-compatibility/2006">
          <mc:Choice Requires="x14">
            <control shapeId="10244" r:id="rId6" name="Drop Down 4">
              <controlPr defaultSize="0" autoFill="0" autoLine="0" autoPict="0">
                <anchor moveWithCells="1">
                  <from>
                    <xdr:col>3</xdr:col>
                    <xdr:colOff>0</xdr:colOff>
                    <xdr:row>4</xdr:row>
                    <xdr:rowOff>0</xdr:rowOff>
                  </from>
                  <to>
                    <xdr:col>3</xdr:col>
                    <xdr:colOff>657225</xdr:colOff>
                    <xdr:row>4</xdr:row>
                    <xdr:rowOff>209550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ACE46-F93B-4733-9446-AE468C144A46}">
  <dimension ref="A1"/>
  <sheetViews>
    <sheetView workbookViewId="0"/>
  </sheetViews>
  <sheetFormatPr defaultRowHeight="12.75"/>
  <sheetData/>
  <phoneticPr fontId="6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29"/>
  <sheetViews>
    <sheetView showGridLines="0" zoomScaleNormal="100" workbookViewId="0">
      <selection activeCell="N10" sqref="N10"/>
    </sheetView>
  </sheetViews>
  <sheetFormatPr defaultRowHeight="12.75"/>
  <cols>
    <col min="2" max="2" width="17.28515625" customWidth="1"/>
    <col min="7" max="7" width="25.7109375" customWidth="1"/>
  </cols>
  <sheetData>
    <row r="1" spans="1:26" ht="18.75" customHeight="1" thickBot="1">
      <c r="P1">
        <v>1</v>
      </c>
      <c r="Q1">
        <v>1</v>
      </c>
      <c r="R1">
        <v>1</v>
      </c>
    </row>
    <row r="2" spans="1:26" ht="13.5" customHeight="1" thickBot="1">
      <c r="B2" s="526" t="s">
        <v>362</v>
      </c>
      <c r="C2" s="544"/>
      <c r="D2" s="310">
        <v>1</v>
      </c>
    </row>
    <row r="3" spans="1:26" ht="15" customHeight="1" thickBot="1">
      <c r="B3" s="526" t="s">
        <v>361</v>
      </c>
      <c r="C3" s="544"/>
      <c r="D3" s="311" t="s">
        <v>363</v>
      </c>
      <c r="P3">
        <v>1</v>
      </c>
      <c r="Q3" s="270" t="s">
        <v>363</v>
      </c>
      <c r="R3" s="270" t="s">
        <v>324</v>
      </c>
    </row>
    <row r="4" spans="1:26" ht="13.5" thickBot="1">
      <c r="B4" s="315" t="s">
        <v>371</v>
      </c>
      <c r="C4" s="316"/>
      <c r="D4" s="317" t="str">
        <f>CONCATENATE("x",'DDR4 Config'!D8)</f>
        <v>x4</v>
      </c>
      <c r="P4">
        <v>2</v>
      </c>
      <c r="Q4" s="270" t="s">
        <v>364</v>
      </c>
    </row>
    <row r="5" spans="1:26" ht="13.5" thickBot="1">
      <c r="B5" s="315" t="s">
        <v>372</v>
      </c>
      <c r="C5" s="266"/>
      <c r="D5" s="266" t="str">
        <f>'DDR4 Config'!D7</f>
        <v>16Gb</v>
      </c>
      <c r="P5">
        <v>4</v>
      </c>
      <c r="Q5" s="270" t="s">
        <v>365</v>
      </c>
    </row>
    <row r="6" spans="1:26">
      <c r="B6" s="270"/>
      <c r="Q6" s="270" t="s">
        <v>366</v>
      </c>
    </row>
    <row r="7" spans="1:26" ht="39" thickBot="1">
      <c r="B7" s="270"/>
      <c r="Q7" s="308"/>
      <c r="S7" s="313" t="s">
        <v>367</v>
      </c>
      <c r="T7" s="313" t="s">
        <v>368</v>
      </c>
      <c r="U7" s="314" t="s">
        <v>322</v>
      </c>
      <c r="V7" s="313" t="s">
        <v>327</v>
      </c>
      <c r="W7" s="313" t="s">
        <v>328</v>
      </c>
      <c r="X7" s="313" t="s">
        <v>329</v>
      </c>
      <c r="Y7" s="313" t="s">
        <v>369</v>
      </c>
      <c r="Z7" s="313" t="s">
        <v>370</v>
      </c>
    </row>
    <row r="8" spans="1:26" ht="14.25">
      <c r="B8" s="270" t="s">
        <v>373</v>
      </c>
      <c r="S8" s="273" t="str">
        <f>CONCATENATE("x",'DDR4 Config'!D8)</f>
        <v>x4</v>
      </c>
      <c r="T8" s="274" t="str">
        <f>D3</f>
        <v>RDIMM</v>
      </c>
      <c r="U8" s="309">
        <f>'System Config'!N9</f>
        <v>1200.4801920768307</v>
      </c>
      <c r="V8" s="276" t="e">
        <f>C23</f>
        <v>#REF!</v>
      </c>
      <c r="W8" s="276">
        <f>C24</f>
        <v>96.102051574206371</v>
      </c>
      <c r="X8" s="276">
        <f>C25</f>
        <v>0</v>
      </c>
      <c r="Y8" s="312">
        <f>D2</f>
        <v>1</v>
      </c>
      <c r="Z8" s="277"/>
    </row>
    <row r="9" spans="1:26" ht="39" thickBot="1">
      <c r="A9" s="541" t="str">
        <f>CONCATENATE('DDR4 Config'!D7," DDR4  ",'DDR4 Config'!D8," DQs ",'DDR4 Config'!D9," Speed ",)</f>
        <v xml:space="preserve">16Gb DDR4  4 DQs -083 Speed </v>
      </c>
      <c r="B9" s="542"/>
      <c r="C9" s="543"/>
      <c r="F9" s="271" t="s">
        <v>320</v>
      </c>
      <c r="G9" s="272" t="s">
        <v>326</v>
      </c>
      <c r="H9" s="271" t="s">
        <v>321</v>
      </c>
      <c r="I9" s="271" t="s">
        <v>322</v>
      </c>
      <c r="J9" s="272" t="s">
        <v>327</v>
      </c>
      <c r="K9" s="272" t="s">
        <v>328</v>
      </c>
      <c r="L9" s="272" t="s">
        <v>329</v>
      </c>
      <c r="M9" s="272" t="s">
        <v>323</v>
      </c>
      <c r="N9" s="272" t="s">
        <v>331</v>
      </c>
    </row>
    <row r="10" spans="1:26" ht="15" thickBot="1">
      <c r="A10" s="305"/>
      <c r="B10" s="306"/>
      <c r="C10" s="307" t="s">
        <v>302</v>
      </c>
      <c r="F10" s="273" t="s">
        <v>80</v>
      </c>
      <c r="G10" s="274" t="s">
        <v>175</v>
      </c>
      <c r="H10" s="274" t="s">
        <v>324</v>
      </c>
      <c r="I10" s="275" t="s">
        <v>175</v>
      </c>
      <c r="J10" s="276">
        <v>281.19119096033802</v>
      </c>
      <c r="K10" s="276">
        <v>86.227400119260594</v>
      </c>
      <c r="L10" s="276">
        <v>27.387755461437521</v>
      </c>
      <c r="M10" s="276" t="s">
        <v>325</v>
      </c>
      <c r="N10" s="277">
        <f xml:space="preserve">  IF(F10="x4",  (1*18*J10+(IF(M10="single",0,1)*1*18*K10) +IF(M10="dual",L10*18,0))/1000+0.5,"na")</f>
        <v>7.6065142377386508</v>
      </c>
    </row>
    <row r="11" spans="1:26" ht="15" thickBot="1">
      <c r="A11" s="157" t="s">
        <v>207</v>
      </c>
      <c r="B11" s="158"/>
      <c r="C11" s="159" t="e">
        <f>Summary!D10</f>
        <v>#REF!</v>
      </c>
      <c r="F11" s="273" t="s">
        <v>80</v>
      </c>
      <c r="G11" s="274" t="s">
        <v>175</v>
      </c>
      <c r="H11" s="274" t="s">
        <v>324</v>
      </c>
      <c r="I11" s="275" t="s">
        <v>175</v>
      </c>
      <c r="J11" s="276" t="s">
        <v>175</v>
      </c>
      <c r="K11" s="276" t="s">
        <v>175</v>
      </c>
      <c r="L11" s="276" t="s">
        <v>175</v>
      </c>
      <c r="M11" s="276" t="s">
        <v>325</v>
      </c>
      <c r="N11" s="277" t="e">
        <f xml:space="preserve">  IF(F11="x4",  (1*18*J11+(IF(M11="single",0,1)*1*18*K11) +IF(M11="dual",L11*18,0))/1000+0.5,"na")</f>
        <v>#VALUE!</v>
      </c>
    </row>
    <row r="12" spans="1:26" ht="15.75" thickBot="1">
      <c r="A12" s="537" t="s">
        <v>311</v>
      </c>
      <c r="B12" s="538"/>
      <c r="C12" s="155" t="e">
        <f>C11</f>
        <v>#REF!</v>
      </c>
      <c r="F12" s="273" t="s">
        <v>80</v>
      </c>
      <c r="G12" s="274" t="s">
        <v>175</v>
      </c>
      <c r="H12" s="274" t="s">
        <v>324</v>
      </c>
      <c r="I12" s="275" t="s">
        <v>339</v>
      </c>
      <c r="J12" s="276" t="s">
        <v>175</v>
      </c>
      <c r="K12" s="276" t="s">
        <v>175</v>
      </c>
      <c r="L12" s="276" t="s">
        <v>175</v>
      </c>
      <c r="M12" s="276" t="s">
        <v>325</v>
      </c>
      <c r="N12" s="277" t="e">
        <f xml:space="preserve">  IF(F12="x4",  (1*18*J12+(IF(M12="single",0,1)*1*18*K12) +IF(M12="dual",L12*18,0))/1000+0.5,"na")</f>
        <v>#VALUE!</v>
      </c>
    </row>
    <row r="13" spans="1:26" ht="14.25">
      <c r="A13" s="161" t="s">
        <v>209</v>
      </c>
      <c r="B13" s="162"/>
      <c r="C13" s="163" t="e">
        <f>Summary!D12</f>
        <v>#REF!</v>
      </c>
      <c r="F13" s="273" t="s">
        <v>80</v>
      </c>
      <c r="G13" s="274" t="s">
        <v>175</v>
      </c>
      <c r="H13" s="274" t="s">
        <v>324</v>
      </c>
      <c r="I13" s="275" t="s">
        <v>175</v>
      </c>
      <c r="J13" s="276" t="s">
        <v>175</v>
      </c>
      <c r="K13" s="276" t="s">
        <v>175</v>
      </c>
      <c r="L13" s="276" t="s">
        <v>175</v>
      </c>
      <c r="M13" s="276" t="s">
        <v>325</v>
      </c>
      <c r="N13" s="277" t="e">
        <f xml:space="preserve">  IF(F13="x4",  (1*18*J13+(IF(M13="single",0,1)*1*18*K13) +IF(M13="dual",L13*18,0))/1000+0.5,"na")</f>
        <v>#VALUE!</v>
      </c>
    </row>
    <row r="14" spans="1:26" ht="14.25">
      <c r="A14" s="161" t="s">
        <v>208</v>
      </c>
      <c r="B14" s="162"/>
      <c r="C14" s="163">
        <f>Summary!D13</f>
        <v>37.054803012113929</v>
      </c>
    </row>
    <row r="15" spans="1:26" ht="14.25">
      <c r="A15" s="161" t="s">
        <v>210</v>
      </c>
      <c r="B15" s="162"/>
      <c r="C15" s="163" t="e">
        <f>Summary!D14</f>
        <v>#REF!</v>
      </c>
    </row>
    <row r="16" spans="1:26" ht="14.25">
      <c r="A16" s="161" t="s">
        <v>211</v>
      </c>
      <c r="B16" s="162"/>
      <c r="C16" s="163">
        <f>Summary!D15</f>
        <v>0</v>
      </c>
    </row>
    <row r="17" spans="1:15" ht="15">
      <c r="A17" s="539" t="s">
        <v>312</v>
      </c>
      <c r="B17" s="540"/>
      <c r="C17" s="151" t="e">
        <f>+C13+C14+C15+C16</f>
        <v>#REF!</v>
      </c>
    </row>
    <row r="18" spans="1:15" ht="14.25">
      <c r="A18" s="165" t="s">
        <v>205</v>
      </c>
      <c r="B18" s="166"/>
      <c r="C18" s="167">
        <f>Summary!D17</f>
        <v>93.762024809923972</v>
      </c>
    </row>
    <row r="19" spans="1:15" ht="14.25">
      <c r="A19" s="165" t="s">
        <v>202</v>
      </c>
      <c r="B19" s="166"/>
      <c r="C19" s="167">
        <f>Summary!D18</f>
        <v>0</v>
      </c>
    </row>
    <row r="20" spans="1:15" ht="14.25">
      <c r="A20" s="165" t="s">
        <v>203</v>
      </c>
      <c r="B20" s="166"/>
      <c r="C20" s="167">
        <f>Summary!D19</f>
        <v>0</v>
      </c>
    </row>
    <row r="21" spans="1:15" ht="14.25">
      <c r="A21" s="165" t="s">
        <v>201</v>
      </c>
      <c r="B21" s="166"/>
      <c r="C21" s="167">
        <f>Summary!D20</f>
        <v>0</v>
      </c>
    </row>
    <row r="22" spans="1:15" ht="14.25">
      <c r="A22" s="165" t="s">
        <v>206</v>
      </c>
      <c r="B22" s="166"/>
      <c r="C22" s="167">
        <f>Summary!D21</f>
        <v>2.3400267642823924</v>
      </c>
    </row>
    <row r="23" spans="1:15" ht="39" thickBot="1">
      <c r="A23" s="138" t="s">
        <v>332</v>
      </c>
      <c r="B23" s="137"/>
      <c r="C23" s="139" t="e">
        <f>+C17+C12+C24</f>
        <v>#REF!</v>
      </c>
      <c r="F23" s="271" t="s">
        <v>320</v>
      </c>
      <c r="G23" s="272" t="s">
        <v>326</v>
      </c>
      <c r="H23" s="271" t="s">
        <v>321</v>
      </c>
      <c r="I23" s="271" t="s">
        <v>345</v>
      </c>
      <c r="J23" s="271" t="s">
        <v>322</v>
      </c>
      <c r="K23" s="272" t="s">
        <v>327</v>
      </c>
      <c r="L23" s="272" t="s">
        <v>328</v>
      </c>
      <c r="M23" s="272" t="s">
        <v>329</v>
      </c>
      <c r="N23" s="272" t="s">
        <v>323</v>
      </c>
      <c r="O23" s="272" t="s">
        <v>330</v>
      </c>
    </row>
    <row r="24" spans="1:15" ht="15.75" thickBot="1">
      <c r="A24" s="521" t="s">
        <v>313</v>
      </c>
      <c r="B24" s="522"/>
      <c r="C24" s="147">
        <f>SUM(C18:C22)</f>
        <v>96.102051574206371</v>
      </c>
      <c r="F24" s="278"/>
      <c r="G24" s="279"/>
      <c r="H24" s="279"/>
      <c r="I24" s="279"/>
      <c r="J24" s="280"/>
      <c r="K24" s="281"/>
      <c r="L24" s="281"/>
      <c r="M24" s="281"/>
      <c r="N24" s="294" t="s">
        <v>344</v>
      </c>
      <c r="O24" s="282">
        <f t="shared" ref="O24:O29" si="0" xml:space="preserve">  (1*I24*K24+(IF(N24="single",0,1)*1*I24*L24) +IF(N24="dual",M24*I24,0))/1000+0</f>
        <v>0</v>
      </c>
    </row>
    <row r="25" spans="1:15" ht="15.75" thickBot="1">
      <c r="A25" s="141" t="s">
        <v>212</v>
      </c>
      <c r="B25" s="142"/>
      <c r="C25" s="143">
        <f>Summary!D24</f>
        <v>0</v>
      </c>
      <c r="F25" s="278"/>
      <c r="G25" s="279"/>
      <c r="H25" s="279"/>
      <c r="I25" s="279"/>
      <c r="J25" s="280"/>
      <c r="K25" s="281"/>
      <c r="L25" s="281"/>
      <c r="M25" s="281"/>
      <c r="N25" s="294" t="s">
        <v>344</v>
      </c>
      <c r="O25" s="282">
        <f t="shared" si="0"/>
        <v>0</v>
      </c>
    </row>
    <row r="26" spans="1:15" ht="15" thickBot="1">
      <c r="F26" s="278"/>
      <c r="G26" s="279"/>
      <c r="H26" s="279"/>
      <c r="I26" s="279"/>
      <c r="J26" s="280"/>
      <c r="K26" s="281"/>
      <c r="L26" s="281"/>
      <c r="M26" s="281"/>
      <c r="N26" s="295" t="s">
        <v>325</v>
      </c>
      <c r="O26" s="282">
        <f t="shared" si="0"/>
        <v>0</v>
      </c>
    </row>
    <row r="27" spans="1:15" ht="15" thickBot="1">
      <c r="F27" s="278"/>
      <c r="G27" s="279"/>
      <c r="H27" s="279"/>
      <c r="I27" s="279"/>
      <c r="J27" s="280"/>
      <c r="K27" s="281"/>
      <c r="L27" s="281"/>
      <c r="M27" s="281"/>
      <c r="N27" s="295" t="s">
        <v>325</v>
      </c>
      <c r="O27" s="282">
        <f t="shared" si="0"/>
        <v>0</v>
      </c>
    </row>
    <row r="28" spans="1:15" ht="15" thickBot="1">
      <c r="F28" s="278"/>
      <c r="G28" s="279"/>
      <c r="H28" s="279"/>
      <c r="I28" s="279"/>
      <c r="J28" s="280"/>
      <c r="K28" s="281"/>
      <c r="L28" s="281"/>
      <c r="M28" s="281"/>
      <c r="N28" s="281" t="s">
        <v>325</v>
      </c>
      <c r="O28" s="282">
        <f t="shared" si="0"/>
        <v>0</v>
      </c>
    </row>
    <row r="29" spans="1:15" ht="14.25">
      <c r="F29" s="278"/>
      <c r="G29" s="279"/>
      <c r="H29" s="279"/>
      <c r="I29" s="279"/>
      <c r="J29" s="280"/>
      <c r="K29" s="281"/>
      <c r="L29" s="281"/>
      <c r="M29" s="281"/>
      <c r="N29" s="281" t="s">
        <v>325</v>
      </c>
      <c r="O29" s="282">
        <f t="shared" si="0"/>
        <v>0</v>
      </c>
    </row>
  </sheetData>
  <mergeCells count="6">
    <mergeCell ref="A9:C9"/>
    <mergeCell ref="A24:B24"/>
    <mergeCell ref="A12:B12"/>
    <mergeCell ref="A17:B17"/>
    <mergeCell ref="B2:C2"/>
    <mergeCell ref="B3:C3"/>
  </mergeCells>
  <phoneticPr fontId="62" type="noConversion"/>
  <dataValidations count="2">
    <dataValidation type="list" allowBlank="1" showInputMessage="1" showErrorMessage="1" sqref="D2" xr:uid="{7006BE3E-A417-4EF6-8605-F137BFF16EE5}">
      <formula1>$P$3:$P$5</formula1>
    </dataValidation>
    <dataValidation type="list" allowBlank="1" showInputMessage="1" showErrorMessage="1" sqref="D3" xr:uid="{719D6451-C0B8-4B90-BD85-D28573DA8462}">
      <formula1>$Q$3:$Q$6</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Drop Down 1">
              <controlPr defaultSize="0" autoFill="0" autoLine="0" autoPict="0">
                <anchor moveWithCells="1">
                  <from>
                    <xdr:col>19</xdr:col>
                    <xdr:colOff>552450</xdr:colOff>
                    <xdr:row>1</xdr:row>
                    <xdr:rowOff>47625</xdr:rowOff>
                  </from>
                  <to>
                    <xdr:col>20</xdr:col>
                    <xdr:colOff>600075</xdr:colOff>
                    <xdr:row>2</xdr:row>
                    <xdr:rowOff>114300</xdr:rowOff>
                  </to>
                </anchor>
              </controlPr>
            </control>
          </mc:Choice>
        </mc:AlternateContent>
        <mc:AlternateContent xmlns:mc="http://schemas.openxmlformats.org/markup-compatibility/2006">
          <mc:Choice Requires="x14">
            <control shapeId="8194" r:id="rId5" name="Drop Down 2">
              <controlPr defaultSize="0" autoFill="0" autoLine="0" autoPict="0">
                <anchor moveWithCells="1">
                  <from>
                    <xdr:col>19</xdr:col>
                    <xdr:colOff>542925</xdr:colOff>
                    <xdr:row>2</xdr:row>
                    <xdr:rowOff>47625</xdr:rowOff>
                  </from>
                  <to>
                    <xdr:col>20</xdr:col>
                    <xdr:colOff>590550</xdr:colOff>
                    <xdr:row>3</xdr:row>
                    <xdr:rowOff>95250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spe:Receivers xmlns:spe="http://schemas.microsoft.com/sharepoint/events">
  <Receiver>
    <Name>Microsoft.Office.RecordsManagement.PolicyFeatures.ExpirationEventReceiver</Name>
    <Synchronization>Synchronous</Synchronization>
    <Type>10001</Type>
    <SequenceNumber>101</SequenceNumber>
    <Url/>
    <Assembly>Microsoft.Office.Policy, Version=15.0.0.0,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10002</Type>
    <SequenceNumber>102</SequenceNumber>
    <Url/>
    <Assembly>Microsoft.Office.Policy, Version=15.0.0.0,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10004</Type>
    <SequenceNumber>103</SequenceNumber>
    <Url/>
    <Assembly>Microsoft.Office.Policy, Version=15.0.0.0,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10006</Type>
    <SequenceNumber>104</SequenceNumber>
    <Url/>
    <Assembly>Microsoft.Office.Policy, Version=15.0.0.0,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10009</Type>
    <SequenceNumber>105</SequenceNumber>
    <Url/>
    <Assembly>Microsoft.Office.Policy, Version=15.0.0.0,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10001</Type>
    <SequenceNumber>101</SequenceNumber>
    <Url/>
    <Assembly>Microsoft.Office.Policy, Version=15.0.0.0,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10002</Type>
    <SequenceNumber>102</SequenceNumber>
    <Url/>
    <Assembly>Microsoft.Office.Policy, Version=15.0.0.0,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10004</Type>
    <SequenceNumber>103</SequenceNumber>
    <Url/>
    <Assembly>Microsoft.Office.Policy, Version=15.0.0.0,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10006</Type>
    <SequenceNumber>104</SequenceNumber>
    <Url/>
    <Assembly>Microsoft.Office.Policy, Version=15.0.0.0, Culture=neutral, PublicKeyToken=71e9bce111e9429c</Assembly>
    <Class>Microsoft.Office.RecordsManagement.Internal.UpdateExpireDate</Class>
    <Data/>
    <Filter/>
  </Receiver>
  <Receiver>
    <Name>Microsoft.Office.RecordsManagement.PolicyFeatures.ExpirationEventReceiver</Name>
    <Synchronization>Synchronous</Synchronization>
    <Type>10009</Type>
    <SequenceNumber>105</SequenceNumber>
    <Url/>
    <Assembly>Microsoft.Office.Policy, Version=15.0.0.0, Culture=neutral, PublicKeyToken=71e9bce111e9429c</Assembly>
    <Class>Microsoft.Office.RecordsManagement.Internal.UpdateExpireDate</Class>
    <Data/>
    <Filter/>
  </Receiver>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SharedContentType xmlns="Microsoft.SharePoint.Taxonomy.ContentTypeSync" SourceId="7d0f6f0b-6f82-4a9a-81e4-04de45000ff3" ContentTypeId="0x010100CD6E6A531DF33E4DA07FC6A59B083B630603"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p:Policy xmlns:p="office.server.policy" id="" local="true">
  <p:Name>COMM - Investor Relations and Publicity</p:Name>
  <p:Description/>
  <p:Statement/>
  <p:PolicyItems>
    <p:PolicyItem featureId="Microsoft.Office.RecordsManagement.PolicyFeatures.Expiration" staticId="0x010100CD6E6A531DF33E4DA07FC6A59B083B630603|-1781053031" UniqueId="43bd5536-f205-4f76-84d6-0a57720f239b">
      <p:Name>Retention</p:Name>
      <p:Description>Automatic scheduling of content for processing, and performing a retention action on content that has reached its due date.</p:Description>
      <p:CustomData>
        <Schedules nextStageId="3">
          <Schedule type="Default">
            <stages>
              <data stageId="1" recur="true" offset="30" unit="days">
                <formula id="Microsoft.Office.RecordsManagement.PolicyFeatures.Expiration.Formula.BuiltIn">
                  <number>3561</number>
                  <property>Modified</property>
                  <propertyId>28cf69c5-fa48-462a-b5cd-27b6f9d2bd5f</propertyId>
                  <period>days</period>
                </formula>
                <action type="workflow" id="3cd332a4-6b60-4fcf-b56b-822d43762faf"/>
              </data>
              <data stageId="2">
                <formula id="Microsoft.Office.RecordsManagement.PolicyFeatures.Expiration.Formula.BuiltIn">
                  <number>10</number>
                  <property>Modified</property>
                  <period>years</period>
                </formula>
                <action type="action" id="Microsoft.Office.RecordsManagement.PolicyFeatures.Expiration.Action.MoveToRecycleBin"/>
              </data>
            </stages>
          </Schedule>
        </Schedules>
      </p:CustomData>
    </p:PolicyItem>
  </p:PolicyItems>
</p:Policy>
</file>

<file path=customXml/item5.xml><?xml version="1.0" encoding="utf-8"?>
<ct:contentTypeSchema xmlns:ct="http://schemas.microsoft.com/office/2006/metadata/contentType" xmlns:ma="http://schemas.microsoft.com/office/2006/metadata/properties/metaAttributes" ct:_="" ma:_="" ma:contentTypeName="GCM 10 Years (Tech Docs, IR, Products)" ma:contentTypeID="0x010100CD6E6A531DF33E4DA07FC6A59B083B6306030082E434E9C643A048B9FCA394DD56322A001B6E321A2901F84AB0B34A50550DDC6D" ma:contentTypeVersion="73" ma:contentTypeDescription="" ma:contentTypeScope="" ma:versionID="89ff4542405773f77177bd3db9017db6">
  <xsd:schema xmlns:xsd="http://www.w3.org/2001/XMLSchema" xmlns:xs="http://www.w3.org/2001/XMLSchema" xmlns:p="http://schemas.microsoft.com/office/2006/metadata/properties" xmlns:ns1="http://schemas.microsoft.com/sharepoint/v3" xmlns:ns2="9da2a8c5-e2e9-492f-892b-673e1ab35ec9" xmlns:ns3="http://schemas.microsoft.com/sharepoint/v3/fields" xmlns:ns4="6a35af9b-192e-475b-8dce-44c9c99cc35b" xmlns:ns5="d2b46ff5-13d8-49b4-8f95-223958031ccf" targetNamespace="http://schemas.microsoft.com/office/2006/metadata/properties" ma:root="true" ma:fieldsID="edb3dd733d5da5d1fbfc071a692e3b63" ns1:_="" ns2:_="" ns3:_="" ns4:_="" ns5:_="">
    <xsd:import namespace="http://schemas.microsoft.com/sharepoint/v3"/>
    <xsd:import namespace="9da2a8c5-e2e9-492f-892b-673e1ab35ec9"/>
    <xsd:import namespace="http://schemas.microsoft.com/sharepoint/v3/fields"/>
    <xsd:import namespace="6a35af9b-192e-475b-8dce-44c9c99cc35b"/>
    <xsd:import namespace="d2b46ff5-13d8-49b4-8f95-223958031ccf"/>
    <xsd:element name="properties">
      <xsd:complexType>
        <xsd:sequence>
          <xsd:element name="documentManagement">
            <xsd:complexType>
              <xsd:all>
                <xsd:element ref="ns2:r_object_id" minOccurs="0"/>
                <xsd:element ref="ns2:i_chronicle_id" minOccurs="0"/>
                <xsd:element ref="ns2:r_version_label" minOccurs="0"/>
                <xsd:element ref="ns2:DocType" minOccurs="0"/>
                <xsd:element ref="ns2:object_name" minOccurs="0"/>
                <xsd:element ref="ns2:MTKeywords" minOccurs="0"/>
                <xsd:element ref="ns2:WorkflowRoute" minOccurs="0"/>
                <xsd:element ref="ns2:WorkflowNotification" minOccurs="0"/>
                <xsd:element ref="ns2:WorkflowType" minOccurs="0"/>
                <xsd:element ref="ns3:Description" minOccurs="0"/>
                <xsd:element ref="ns1:Name" minOccurs="0"/>
                <xsd:element ref="ns2:MicronRecord" minOccurs="0"/>
                <xsd:element ref="ns2:EDC_CommArea" minOccurs="0"/>
                <xsd:element ref="ns2:EDC_Category" minOccurs="0"/>
                <xsd:element ref="ns2:EDC_DateTime" minOccurs="0"/>
                <xsd:element ref="ns2:EDC_Facility" minOccurs="0"/>
                <xsd:element ref="ns2:EDC_System" minOccurs="0"/>
                <xsd:element ref="ns2:EDC_Project" minOccurs="0"/>
                <xsd:element ref="ns2:EDC_Status" minOccurs="0"/>
                <xsd:element ref="ns2:DocumentComment" minOccurs="0"/>
                <xsd:element ref="ns1:_dlc_ExpireDateSaved" minOccurs="0"/>
                <xsd:element ref="ns1:_dlc_ExpireDate" minOccurs="0"/>
                <xsd:element ref="ns2:EmFrom" minOccurs="0"/>
                <xsd:element ref="ns2:EmSubject" minOccurs="0"/>
                <xsd:element ref="ns2:EmReceivedDate" minOccurs="0"/>
                <xsd:element ref="ns2:EmCategory" minOccurs="0"/>
                <xsd:element ref="ns2:EmAttachment" minOccurs="0"/>
                <xsd:element ref="ns2:EmConversationID" minOccurs="0"/>
                <xsd:element ref="ns2:EmFolder" minOccurs="0"/>
                <xsd:element ref="ns2:_dlc_DocId" minOccurs="0"/>
                <xsd:element ref="ns2:_dlc_DocIdUrl" minOccurs="0"/>
                <xsd:element ref="ns2:_dlc_DocIdPersistId" minOccurs="0"/>
                <xsd:element ref="ns4:Security" minOccurs="0"/>
                <xsd:element ref="ns4:SharedWithUsers" minOccurs="0"/>
                <xsd:element ref="ns5:Micron_x0020_Custom_x0020_Approval" minOccurs="0"/>
                <xsd:element ref="ns4:GCMDocumentType" minOccurs="0"/>
                <xsd:element ref="ns1:_dlc_Exemp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Name" ma:index="18" nillable="true" ma:displayName="Account" ma:internalName="Name" ma:readOnly="true">
      <xsd:simpleType>
        <xsd:restriction base="dms:Text"/>
      </xsd:simpleType>
    </xsd:element>
    <xsd:element name="_dlc_ExpireDateSaved" ma:index="28" nillable="true" ma:displayName="Original Expiration Date" ma:hidden="true" ma:internalName="_dlc_ExpireDateSaved" ma:readOnly="true">
      <xsd:simpleType>
        <xsd:restriction base="dms:DateTime"/>
      </xsd:simpleType>
    </xsd:element>
    <xsd:element name="_dlc_ExpireDate" ma:index="29" nillable="true" ma:displayName="Expiration Date" ma:description="" ma:hidden="true" ma:indexed="true" ma:internalName="_dlc_ExpireDate" ma:readOnly="true">
      <xsd:simpleType>
        <xsd:restriction base="dms:DateTime"/>
      </xsd:simpleType>
    </xsd:element>
    <xsd:element name="_dlc_Exempt" ma:index="45"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da2a8c5-e2e9-492f-892b-673e1ab35ec9" elementFormDefault="qualified">
    <xsd:import namespace="http://schemas.microsoft.com/office/2006/documentManagement/types"/>
    <xsd:import namespace="http://schemas.microsoft.com/office/infopath/2007/PartnerControls"/>
    <xsd:element name="r_object_id" ma:index="8" nillable="true" ma:displayName="r_object_id" ma:hidden="true" ma:internalName="r_object_id" ma:readOnly="false">
      <xsd:simpleType>
        <xsd:restriction base="dms:Text"/>
      </xsd:simpleType>
    </xsd:element>
    <xsd:element name="i_chronicle_id" ma:index="9" nillable="true" ma:displayName="i_chronicle_id" ma:hidden="true" ma:internalName="i_chronicle_id" ma:readOnly="false">
      <xsd:simpleType>
        <xsd:restriction base="dms:Text"/>
      </xsd:simpleType>
    </xsd:element>
    <xsd:element name="r_version_label" ma:index="10" nillable="true" ma:displayName="r_version_label" ma:hidden="true" ma:internalName="r_version_label" ma:readOnly="false">
      <xsd:simpleType>
        <xsd:restriction base="dms:Text"/>
      </xsd:simpleType>
    </xsd:element>
    <xsd:element name="DocType" ma:index="11" nillable="true" ma:displayName="DocType" ma:default="DDR4" ma:internalName="DocType">
      <xsd:simpleType>
        <xsd:restriction base="dms:Text">
          <xsd:maxLength value="255"/>
        </xsd:restriction>
      </xsd:simpleType>
    </xsd:element>
    <xsd:element name="object_name" ma:index="12" nillable="true" ma:displayName="object_name" ma:hidden="true" ma:internalName="object_name" ma:readOnly="false">
      <xsd:simpleType>
        <xsd:restriction base="dms:Note"/>
      </xsd:simpleType>
    </xsd:element>
    <xsd:element name="MTKeywords" ma:index="13" nillable="true" ma:displayName="MT Keywords" ma:default="DDR4" ma:indexed="true" ma:internalName="MTKeywords">
      <xsd:simpleType>
        <xsd:restriction base="dms:Text">
          <xsd:maxLength value="255"/>
        </xsd:restriction>
      </xsd:simpleType>
    </xsd:element>
    <xsd:element name="WorkflowRoute" ma:index="14" nillable="true" ma:displayName="Workflow Route" ma:list="{7ae8de6f-6c41-483e-8543-5ed0a196fa30}" ma:internalName="WorkflowRoute" ma:readOnly="false" ma:showField="Title" ma:web="6a35af9b-192e-475b-8dce-44c9c99cc35b">
      <xsd:simpleType>
        <xsd:restriction base="dms:Lookup"/>
      </xsd:simpleType>
    </xsd:element>
    <xsd:element name="WorkflowNotification" ma:index="15" nillable="true" ma:displayName="Workflow Notification" ma:internalName="WorkflowNotification" ma:readOnly="fals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WorkflowType" ma:index="16" nillable="true" ma:displayName="Workflow Type" ma:default="Circular" ma:internalName="WorkflowType" ma:readOnly="false">
      <xsd:simpleType>
        <xsd:union memberTypes="dms:Text">
          <xsd:simpleType>
            <xsd:restriction base="dms:Choice">
              <xsd:enumeration value="Circular"/>
              <xsd:enumeration value=" Linear with Release"/>
              <xsd:enumeration value=" Linear with Reroute"/>
            </xsd:restriction>
          </xsd:simpleType>
        </xsd:union>
      </xsd:simpleType>
    </xsd:element>
    <xsd:element name="MicronRecord" ma:index="19" nillable="true" ma:displayName="Micron Record" ma:default="No" ma:hidden="true" ma:internalName="MicronRecord" ma:readOnly="false">
      <xsd:simpleType>
        <xsd:union memberTypes="dms:Text">
          <xsd:simpleType>
            <xsd:restriction base="dms:Choice">
              <xsd:enumeration value="No"/>
              <xsd:enumeration value=" Yes"/>
            </xsd:restriction>
          </xsd:simpleType>
        </xsd:union>
      </xsd:simpleType>
    </xsd:element>
    <xsd:element name="EDC_CommArea" ma:index="20" nillable="true" ma:displayName="Comm Area" ma:hidden="true" ma:internalName="EDC_CommArea" ma:readOnly="false">
      <xsd:simpleType>
        <xsd:restriction base="dms:Text">
          <xsd:enumeration value="EPI"/>
        </xsd:restriction>
      </xsd:simpleType>
    </xsd:element>
    <xsd:element name="EDC_Category" ma:index="21" nillable="true" ma:displayName="Category" ma:hidden="true" ma:internalName="EDC_Category" ma:readOnly="false">
      <xsd:simpleType>
        <xsd:restriction base="dms:Text"/>
      </xsd:simpleType>
    </xsd:element>
    <xsd:element name="EDC_DateTime" ma:index="22" nillable="true" ma:displayName="Date Time" ma:hidden="true" ma:internalName="EDC_DateTime" ma:readOnly="false">
      <xsd:simpleType>
        <xsd:restriction base="dms:Text"/>
      </xsd:simpleType>
    </xsd:element>
    <xsd:element name="EDC_Facility" ma:index="23" nillable="true" ma:displayName="Facility" ma:hidden="true" ma:internalName="EDC_Facility" ma:readOnly="false">
      <xsd:simpleType>
        <xsd:restriction base="dms:Text"/>
      </xsd:simpleType>
    </xsd:element>
    <xsd:element name="EDC_System" ma:index="24" nillable="true" ma:displayName="System" ma:hidden="true" ma:internalName="EDC_System" ma:readOnly="false">
      <xsd:simpleType>
        <xsd:restriction base="dms:Text"/>
      </xsd:simpleType>
    </xsd:element>
    <xsd:element name="EDC_Project" ma:index="25" nillable="true" ma:displayName="Project" ma:indexed="true" ma:internalName="EDC_Project">
      <xsd:simpleType>
        <xsd:restriction base="dms:Text"/>
      </xsd:simpleType>
    </xsd:element>
    <xsd:element name="EDC_Status" ma:index="26" nillable="true" ma:displayName="Status" ma:hidden="true" ma:internalName="EDC_Status" ma:readOnly="false">
      <xsd:simpleType>
        <xsd:restriction base="dms:Text"/>
      </xsd:simpleType>
    </xsd:element>
    <xsd:element name="DocumentComment" ma:index="27" nillable="true" ma:displayName="Document Comment" ma:internalName="DocumentComment">
      <xsd:simpleType>
        <xsd:restriction base="dms:Text"/>
      </xsd:simpleType>
    </xsd:element>
    <xsd:element name="EmFrom" ma:index="30" nillable="true" ma:displayName="EmFrom" ma:hidden="true" ma:indexed="true" ma:internalName="EmFrom" ma:readOnly="false">
      <xsd:simpleType>
        <xsd:restriction base="dms:Text">
          <xsd:maxLength value="255"/>
        </xsd:restriction>
      </xsd:simpleType>
    </xsd:element>
    <xsd:element name="EmSubject" ma:index="31" nillable="true" ma:displayName="EmSubject" ma:hidden="true" ma:internalName="EmSubject" ma:readOnly="false">
      <xsd:simpleType>
        <xsd:restriction base="dms:Text">
          <xsd:maxLength value="255"/>
        </xsd:restriction>
      </xsd:simpleType>
    </xsd:element>
    <xsd:element name="EmReceivedDate" ma:index="32" nillable="true" ma:displayName="EmReceivedDate" ma:format="DateTime" ma:hidden="true" ma:internalName="EmReceivedDate" ma:readOnly="false">
      <xsd:simpleType>
        <xsd:restriction base="dms:DateTime"/>
      </xsd:simpleType>
    </xsd:element>
    <xsd:element name="EmCategory" ma:index="33" nillable="true" ma:displayName="EmCategory" ma:hidden="true" ma:internalName="EmCategory" ma:readOnly="false">
      <xsd:simpleType>
        <xsd:restriction base="dms:Text">
          <xsd:maxLength value="255"/>
        </xsd:restriction>
      </xsd:simpleType>
    </xsd:element>
    <xsd:element name="EmAttachment" ma:index="34" nillable="true" ma:displayName="EmAttachment" ma:default="No" ma:format="Dropdown" ma:hidden="true" ma:internalName="EmAttachment" ma:readOnly="false">
      <xsd:simpleType>
        <xsd:restriction base="dms:Choice">
          <xsd:enumeration value="No"/>
          <xsd:enumeration value="Yes"/>
        </xsd:restriction>
      </xsd:simpleType>
    </xsd:element>
    <xsd:element name="EmConversationID" ma:index="35" nillable="true" ma:displayName="EmConversationID" ma:hidden="true" ma:internalName="EmConversationID" ma:readOnly="false">
      <xsd:simpleType>
        <xsd:restriction base="dms:Text">
          <xsd:maxLength value="255"/>
        </xsd:restriction>
      </xsd:simpleType>
    </xsd:element>
    <xsd:element name="EmFolder" ma:index="36" nillable="true" ma:displayName="EmFolder" ma:hidden="true" ma:internalName="EmFolder" ma:readOnly="false">
      <xsd:simpleType>
        <xsd:restriction base="dms:Text">
          <xsd:maxLength value="255"/>
        </xsd:restriction>
      </xsd:simpleType>
    </xsd:element>
    <xsd:element name="_dlc_DocId" ma:index="37" nillable="true" ma:displayName="Document ID Value" ma:description="The value of the document ID assigned to this item." ma:internalName="_dlc_DocId" ma:readOnly="true">
      <xsd:simpleType>
        <xsd:restriction base="dms:Text"/>
      </xsd:simpleType>
    </xsd:element>
    <xsd:element name="_dlc_DocIdUrl" ma:index="38"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9"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Description" ma:index="17" nillable="true" ma:displayName="Description" ma:internalName="Description"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a35af9b-192e-475b-8dce-44c9c99cc35b" elementFormDefault="qualified">
    <xsd:import namespace="http://schemas.microsoft.com/office/2006/documentManagement/types"/>
    <xsd:import namespace="http://schemas.microsoft.com/office/infopath/2007/PartnerControls"/>
    <xsd:element name="Security" ma:index="40" nillable="true" ma:displayName="GCM Security" ma:description="Who should see this document?" ma:hidden="true" ma:list="{a2c6e3b5-17a6-46e4-9245-e017729902f4}" ma:internalName="Security" ma:readOnly="false" ma:showField="Title" ma:web="6a35af9b-192e-475b-8dce-44c9c99cc35b">
      <xsd:simpleType>
        <xsd:restriction base="dms:Lookup"/>
      </xsd:simpleType>
    </xsd:element>
    <xsd:element name="SharedWithUsers" ma:index="4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GCMDocumentType" ma:index="44" nillable="true" ma:displayName="GCM Document Type" ma:description="What type of document this this?" ma:hidden="true" ma:list="{9c782ae2-c3cc-4fb2-bc81-b24453b09d44}" ma:internalName="GCMDocumentType" ma:readOnly="false" ma:showField="Title" ma:web="6a35af9b-192e-475b-8dce-44c9c99cc35b">
      <xsd:simpleType>
        <xsd:restriction base="dms:Lookup"/>
      </xsd:simpleType>
    </xsd:element>
  </xsd:schema>
  <xsd:schema xmlns:xsd="http://www.w3.org/2001/XMLSchema" xmlns:xs="http://www.w3.org/2001/XMLSchema" xmlns:dms="http://schemas.microsoft.com/office/2006/documentManagement/types" xmlns:pc="http://schemas.microsoft.com/office/infopath/2007/PartnerControls" targetNamespace="d2b46ff5-13d8-49b4-8f95-223958031ccf" elementFormDefault="qualified">
    <xsd:import namespace="http://schemas.microsoft.com/office/2006/documentManagement/types"/>
    <xsd:import namespace="http://schemas.microsoft.com/office/infopath/2007/PartnerControls"/>
    <xsd:element name="Micron_x0020_Custom_x0020_Approval" ma:index="43" nillable="true" ma:displayName="Micron Approval Workflow" ma:internalName="Micron_x0020_Custom_x0020_Approval">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p:properties xmlns:p="http://schemas.microsoft.com/office/2006/metadata/properties" xmlns:xsi="http://www.w3.org/2001/XMLSchema-instance" xmlns:pc="http://schemas.microsoft.com/office/infopath/2007/PartnerControls">
  <documentManagement>
    <WorkflowRoute xmlns="9da2a8c5-e2e9-492f-892b-673e1ab35ec9" xsi:nil="true"/>
    <MicronRecord xmlns="9da2a8c5-e2e9-492f-892b-673e1ab35ec9">No</MicronRecord>
    <EmCategory xmlns="9da2a8c5-e2e9-492f-892b-673e1ab35ec9" xsi:nil="true"/>
    <Micron_x0020_Custom_x0020_Approval xmlns="d2b46ff5-13d8-49b4-8f95-223958031ccf">
      <Url xsi:nil="true"/>
      <Description xsi:nil="true"/>
    </Micron_x0020_Custom_x0020_Approval>
    <WorkflowNotification xmlns="9da2a8c5-e2e9-492f-892b-673e1ab35ec9">
      <UserInfo>
        <DisplayName/>
        <AccountId xsi:nil="true"/>
        <AccountType/>
      </UserInfo>
    </WorkflowNotification>
    <i_chronicle_id xmlns="9da2a8c5-e2e9-492f-892b-673e1ab35ec9" xsi:nil="true"/>
    <EDC_Status xmlns="9da2a8c5-e2e9-492f-892b-673e1ab35ec9" xsi:nil="true"/>
    <r_object_id xmlns="9da2a8c5-e2e9-492f-892b-673e1ab35ec9" xsi:nil="true"/>
    <r_version_label xmlns="9da2a8c5-e2e9-492f-892b-673e1ab35ec9" xsi:nil="true"/>
    <DocType xmlns="9da2a8c5-e2e9-492f-892b-673e1ab35ec9">DDR4</DocType>
    <EDC_DateTime xmlns="9da2a8c5-e2e9-492f-892b-673e1ab35ec9" xsi:nil="true"/>
    <Security xmlns="6a35af9b-192e-475b-8dce-44c9c99cc35b" xsi:nil="true"/>
    <MTKeywords xmlns="9da2a8c5-e2e9-492f-892b-673e1ab35ec9">calculator</MTKeywords>
    <EDC_Category xmlns="9da2a8c5-e2e9-492f-892b-673e1ab35ec9" xsi:nil="true"/>
    <EmAttachment xmlns="9da2a8c5-e2e9-492f-892b-673e1ab35ec9">No</EmAttachment>
    <EDC_System xmlns="9da2a8c5-e2e9-492f-892b-673e1ab35ec9" xsi:nil="true"/>
    <DocumentComment xmlns="9da2a8c5-e2e9-492f-892b-673e1ab35ec9" xsi:nil="true"/>
    <EmFrom xmlns="9da2a8c5-e2e9-492f-892b-673e1ab35ec9" xsi:nil="true"/>
    <GCMDocumentType xmlns="6a35af9b-192e-475b-8dce-44c9c99cc35b" xsi:nil="true"/>
    <object_name xmlns="9da2a8c5-e2e9-492f-892b-673e1ab35ec9" xsi:nil="true"/>
    <EmFolder xmlns="9da2a8c5-e2e9-492f-892b-673e1ab35ec9" xsi:nil="true"/>
    <EDC_Facility xmlns="9da2a8c5-e2e9-492f-892b-673e1ab35ec9" xsi:nil="true"/>
    <EDC_CommArea xmlns="9da2a8c5-e2e9-492f-892b-673e1ab35ec9" xsi:nil="true"/>
    <EmConversationID xmlns="9da2a8c5-e2e9-492f-892b-673e1ab35ec9" xsi:nil="true"/>
    <WorkflowType xmlns="9da2a8c5-e2e9-492f-892b-673e1ab35ec9">Circular</WorkflowType>
    <EDC_Project xmlns="9da2a8c5-e2e9-492f-892b-673e1ab35ec9" xsi:nil="true"/>
    <EmReceivedDate xmlns="9da2a8c5-e2e9-492f-892b-673e1ab35ec9" xsi:nil="true"/>
    <EmSubject xmlns="9da2a8c5-e2e9-492f-892b-673e1ab35ec9" xsi:nil="true"/>
    <_dlc_DocId xmlns="9da2a8c5-e2e9-492f-892b-673e1ab35ec9">CCM005-1406124318-10456</_dlc_DocId>
    <_dlc_ExpireDateSaved xmlns="http://schemas.microsoft.com/sharepoint/v3" xsi:nil="true"/>
    <_dlc_ExpireDate xmlns="http://schemas.microsoft.com/sharepoint/v3">2029-04-08T22:50:41+00:00</_dlc_ExpireDate>
    <_dlc_DocIdUrl xmlns="9da2a8c5-e2e9-492f-892b-673e1ab35ec9">
      <Url>http://edc.micron.com/mti/CCM005/_layouts/15/DocIdRedir.aspx?ID=CCM005-1406124318-10456</Url>
      <Description>CCM005-1406124318-10456</Description>
    </_dlc_DocIdUrl>
  </documentManagement>
</p:properties>
</file>

<file path=customXml/itemProps1.xml><?xml version="1.0" encoding="utf-8"?>
<ds:datastoreItem xmlns:ds="http://schemas.openxmlformats.org/officeDocument/2006/customXml" ds:itemID="{AA0D40EB-9EFC-4B55-AEE4-434314578B18}">
  <ds:schemaRefs>
    <ds:schemaRef ds:uri="http://schemas.microsoft.com/sharepoint/events"/>
  </ds:schemaRefs>
</ds:datastoreItem>
</file>

<file path=customXml/itemProps2.xml><?xml version="1.0" encoding="utf-8"?>
<ds:datastoreItem xmlns:ds="http://schemas.openxmlformats.org/officeDocument/2006/customXml" ds:itemID="{AE951216-1133-4170-8BC5-A883538F849F}">
  <ds:schemaRefs>
    <ds:schemaRef ds:uri="Microsoft.SharePoint.Taxonomy.ContentTypeSync"/>
  </ds:schemaRefs>
</ds:datastoreItem>
</file>

<file path=customXml/itemProps3.xml><?xml version="1.0" encoding="utf-8"?>
<ds:datastoreItem xmlns:ds="http://schemas.openxmlformats.org/officeDocument/2006/customXml" ds:itemID="{5B9B282E-6C5B-4128-85ED-AFE8C129993E}">
  <ds:schemaRefs>
    <ds:schemaRef ds:uri="http://schemas.microsoft.com/sharepoint/v3/contenttype/forms"/>
  </ds:schemaRefs>
</ds:datastoreItem>
</file>

<file path=customXml/itemProps4.xml><?xml version="1.0" encoding="utf-8"?>
<ds:datastoreItem xmlns:ds="http://schemas.openxmlformats.org/officeDocument/2006/customXml" ds:itemID="{947903CE-3854-4733-939E-A187F3205173}">
  <ds:schemaRefs>
    <ds:schemaRef ds:uri="office.server.policy"/>
  </ds:schemaRefs>
</ds:datastoreItem>
</file>

<file path=customXml/itemProps5.xml><?xml version="1.0" encoding="utf-8"?>
<ds:datastoreItem xmlns:ds="http://schemas.openxmlformats.org/officeDocument/2006/customXml" ds:itemID="{641875D2-6E9E-4FAA-A50E-EAC24842F61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da2a8c5-e2e9-492f-892b-673e1ab35ec9"/>
    <ds:schemaRef ds:uri="http://schemas.microsoft.com/sharepoint/v3/fields"/>
    <ds:schemaRef ds:uri="6a35af9b-192e-475b-8dce-44c9c99cc35b"/>
    <ds:schemaRef ds:uri="d2b46ff5-13d8-49b4-8f95-223958031cc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254C0BA5-758E-48E1-B81C-B0318D4A828A}">
  <ds:schemaRef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schemas.microsoft.com/sharepoint/v3"/>
    <ds:schemaRef ds:uri="9da2a8c5-e2e9-492f-892b-673e1ab35ec9"/>
    <ds:schemaRef ds:uri="http://purl.org/dc/terms/"/>
    <ds:schemaRef ds:uri="6a35af9b-192e-475b-8dce-44c9c99cc35b"/>
    <ds:schemaRef ds:uri="d2b46ff5-13d8-49b4-8f95-223958031ccf"/>
    <ds:schemaRef ds:uri="http://schemas.microsoft.com/office/2006/documentManagement/types"/>
    <ds:schemaRef ds:uri="http://schemas.microsoft.com/sharepoint/v3/field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7</vt:i4>
      </vt:variant>
    </vt:vector>
  </HeadingPairs>
  <TitlesOfParts>
    <vt:vector size="18" baseType="lpstr">
      <vt:lpstr>Title</vt:lpstr>
      <vt:lpstr>Instructions</vt:lpstr>
      <vt:lpstr>DDR4 Spec</vt:lpstr>
      <vt:lpstr>DDR4 Config</vt:lpstr>
      <vt:lpstr>Trace</vt:lpstr>
      <vt:lpstr>System Config</vt:lpstr>
      <vt:lpstr>Power Calcs</vt:lpstr>
      <vt:lpstr>Summary</vt:lpstr>
      <vt:lpstr>Module Calc</vt:lpstr>
      <vt:lpstr>Result</vt:lpstr>
      <vt:lpstr>Module Config (OLD)</vt:lpstr>
      <vt:lpstr>'DDR4 Config'!Print_Area</vt:lpstr>
      <vt:lpstr>'DDR4 Spec'!Print_Area</vt:lpstr>
      <vt:lpstr>Instructions!Print_Area</vt:lpstr>
      <vt:lpstr>'Power Calcs'!Print_Area</vt:lpstr>
      <vt:lpstr>Summary!Print_Area</vt:lpstr>
      <vt:lpstr>'System Config'!Print_Area</vt:lpstr>
      <vt:lpstr>Title!Print_Area</vt:lpstr>
    </vt:vector>
  </TitlesOfParts>
  <Company>Micron Technology,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DDR4 Power Calculator 4.0</dc:title>
  <dc:creator>lwooley;sschaefer;jjanzen</dc:creator>
  <cp:lastModifiedBy>Fan Li</cp:lastModifiedBy>
  <cp:lastPrinted>2017-03-17T23:48:43Z</cp:lastPrinted>
  <dcterms:created xsi:type="dcterms:W3CDTF">2001-02-07T14:39:54Z</dcterms:created>
  <dcterms:modified xsi:type="dcterms:W3CDTF">2024-11-11T17:22:08Z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IsMyDocuments">
    <vt:bool>true</vt:bool>
  </property>
  <property fmtid="{D5CDD505-2E9C-101B-9397-08002B2CF9AE}" pid="4" name="ContentTypeId">
    <vt:lpwstr>0x010100CD6E6A531DF33E4DA07FC6A59B083B6306030082E434E9C643A048B9FCA394DD56322A001B6E321A2901F84AB0B34A50550DDC6D</vt:lpwstr>
  </property>
  <property fmtid="{D5CDD505-2E9C-101B-9397-08002B2CF9AE}" pid="5" name="_dlc_policyId">
    <vt:lpwstr>0x010100CD6E6A531DF33E4DA07FC6A59B083B630603|-1781053031</vt:lpwstr>
  </property>
  <property fmtid="{D5CDD505-2E9C-101B-9397-08002B2CF9AE}" pid="6" name="ItemRetentionFormula">
    <vt:lpwstr>&lt;formula id="Microsoft.Office.RecordsManagement.PolicyFeatures.Expiration.Formula.BuiltIn"&gt;&lt;number&gt;3561&lt;/number&gt;&lt;property&gt;Modified&lt;/property&gt;&lt;propertyId&gt;28cf69c5-fa48-462a-b5cd-27b6f9d2bd5f&lt;/propertyId&gt;&lt;period&gt;days&lt;/period&gt;&lt;/formula&gt;</vt:lpwstr>
  </property>
  <property fmtid="{D5CDD505-2E9C-101B-9397-08002B2CF9AE}" pid="7" name="_dlc_DocIdItemGuid">
    <vt:lpwstr>ff61fb6c-fa3a-4bc3-b0ed-83f406656c6b</vt:lpwstr>
  </property>
</Properties>
</file>